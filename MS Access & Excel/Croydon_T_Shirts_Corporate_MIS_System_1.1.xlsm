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0610274\OneDrive\Documents\L3 90-Credit Diploma IT\Unit 3 - Information Systems\"/>
    </mc:Choice>
  </mc:AlternateContent>
  <bookViews>
    <workbookView xWindow="-120" yWindow="-120" windowWidth="29040" windowHeight="15840" activeTab="3"/>
  </bookViews>
  <sheets>
    <sheet name="Croydon" sheetId="8" r:id="rId1"/>
    <sheet name="Glasgow" sheetId="14" r:id="rId2"/>
    <sheet name="Leeds" sheetId="13" r:id="rId3"/>
    <sheet name="MIS - P7 - Guilherme Soares" sheetId="15" r:id="rId4"/>
  </sheets>
  <definedNames>
    <definedName name="Black_Large" localSheetId="0">Croydon!#REF!</definedName>
    <definedName name="Black_Large" localSheetId="1">Glasgow!#REF!</definedName>
    <definedName name="Black_Large" localSheetId="2">Leeds!#REF!</definedName>
    <definedName name="Black_Large">#REF!</definedName>
    <definedName name="Black_Medium" localSheetId="0">Croydon!#REF!</definedName>
    <definedName name="Black_Medium" localSheetId="1">Glasgow!#REF!</definedName>
    <definedName name="Black_Medium" localSheetId="2">Leeds!#REF!</definedName>
    <definedName name="Black_Medium">#REF!</definedName>
    <definedName name="Black_Small" localSheetId="0">Croydon!#REF!</definedName>
    <definedName name="Black_Small" localSheetId="1">Glasgow!#REF!</definedName>
    <definedName name="Black_Small" localSheetId="2">Leeds!#REF!</definedName>
    <definedName name="Black_Small">#REF!</definedName>
    <definedName name="Item_Table" localSheetId="0">Croydon!$B$23:$C$23</definedName>
    <definedName name="Item_Table" localSheetId="1">Glasgow!$B$23:$C$23</definedName>
    <definedName name="Item_Table" localSheetId="2">Leeds!$B$23:$C$23</definedName>
    <definedName name="Item_Table">#REF!</definedName>
    <definedName name="Number__in_pack" localSheetId="0">Croydon!$C$23:$C$23</definedName>
    <definedName name="Number__in_pack" localSheetId="1">Glasgow!$C$23:$C$23</definedName>
    <definedName name="Number__in_pack" localSheetId="2">Leeds!$C$23:$C$23</definedName>
    <definedName name="Number__in_pack">#REF!</definedName>
    <definedName name="_xlnm.Print_Area" localSheetId="0">Croydon!$A$1:$R$59</definedName>
    <definedName name="_xlnm.Print_Area" localSheetId="1">Glasgow!$A$1:$R$59</definedName>
    <definedName name="_xlnm.Print_Area" localSheetId="2">Leeds!$A$1:$R$59</definedName>
    <definedName name="Red_Large" localSheetId="0">Croydon!#REF!</definedName>
    <definedName name="Red_Large" localSheetId="1">Glasgow!#REF!</definedName>
    <definedName name="Red_Large" localSheetId="2">Leeds!#REF!</definedName>
    <definedName name="Red_Large">#REF!</definedName>
    <definedName name="Red_Medium" localSheetId="0">Croydon!#REF!</definedName>
    <definedName name="Red_Medium" localSheetId="1">Glasgow!#REF!</definedName>
    <definedName name="Red_Medium" localSheetId="2">Leeds!#REF!</definedName>
    <definedName name="Red_Medium">#REF!</definedName>
    <definedName name="Red_Small" localSheetId="0">Croydon!#REF!</definedName>
    <definedName name="Red_Small" localSheetId="1">Glasgow!#REF!</definedName>
    <definedName name="Red_Small" localSheetId="2">Leeds!#REF!</definedName>
    <definedName name="Red_Small">#REF!</definedName>
    <definedName name="Sales__Price__each" localSheetId="0">Croydon!$B$23:$B$23</definedName>
    <definedName name="Sales__Price__each" localSheetId="1">Glasgow!$B$23:$B$23</definedName>
    <definedName name="Sales__Price__each" localSheetId="2">Leeds!$B$23:$B$23</definedName>
    <definedName name="Sales__Price__each">#REF!</definedName>
    <definedName name="White_Large" localSheetId="0">Croydon!#REF!</definedName>
    <definedName name="White_Large" localSheetId="1">Glasgow!#REF!</definedName>
    <definedName name="White_Large" localSheetId="2">Leeds!#REF!</definedName>
    <definedName name="White_Large">#REF!</definedName>
    <definedName name="White_Medium" localSheetId="0">Croydon!#REF!</definedName>
    <definedName name="White_Medium" localSheetId="1">Glasgow!#REF!</definedName>
    <definedName name="White_Medium" localSheetId="2">Leeds!#REF!</definedName>
    <definedName name="White_Medium">#REF!</definedName>
    <definedName name="White_Small" localSheetId="0">Croydon!#REF!</definedName>
    <definedName name="White_Small" localSheetId="1">Glasgow!#REF!</definedName>
    <definedName name="White_Small" localSheetId="2">Leeds!#REF!</definedName>
    <definedName name="White_Small">#REF!</definedName>
    <definedName name="Yellow_Large" localSheetId="0">Croydon!$B$23:$C$23</definedName>
    <definedName name="Yellow_Large" localSheetId="1">Glasgow!$B$23:$C$23</definedName>
    <definedName name="Yellow_Large" localSheetId="2">Leeds!$B$23:$C$23</definedName>
    <definedName name="Yellow_Large">#REF!</definedName>
    <definedName name="Yellow_Medium" localSheetId="0">Croydon!#REF!</definedName>
    <definedName name="Yellow_Medium" localSheetId="1">Glasgow!#REF!</definedName>
    <definedName name="Yellow_Medium" localSheetId="2">Leeds!#REF!</definedName>
    <definedName name="Yellow_Medium">#REF!</definedName>
    <definedName name="Yellow_Small" localSheetId="0">Croydon!#REF!</definedName>
    <definedName name="Yellow_Small" localSheetId="1">Glasgow!#REF!</definedName>
    <definedName name="Yellow_Small" localSheetId="2">Leeds!#REF!</definedName>
    <definedName name="Yellow_Small">#REF!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15" l="1"/>
  <c r="C6" i="15"/>
  <c r="D6" i="15"/>
  <c r="E6" i="15"/>
  <c r="F6" i="15"/>
  <c r="G6" i="15"/>
  <c r="H6" i="15"/>
  <c r="I6" i="15"/>
  <c r="J6" i="15"/>
  <c r="K6" i="15"/>
  <c r="L6" i="15"/>
  <c r="M6" i="15"/>
  <c r="N6" i="15"/>
  <c r="S19" i="15" l="1"/>
  <c r="R19" i="15"/>
  <c r="T19" i="15" s="1"/>
  <c r="Q19" i="15"/>
  <c r="N5" i="15" l="1"/>
  <c r="Q20" i="15" s="1"/>
  <c r="N4" i="15"/>
  <c r="S20" i="15" s="1"/>
  <c r="N3" i="15"/>
  <c r="R20" i="15" s="1"/>
  <c r="T20" i="15" l="1"/>
  <c r="D48" i="8"/>
  <c r="R54" i="14" l="1"/>
  <c r="N54" i="14"/>
  <c r="D54" i="14"/>
  <c r="R53" i="14"/>
  <c r="N53" i="14"/>
  <c r="D53" i="14"/>
  <c r="R52" i="14"/>
  <c r="N52" i="14"/>
  <c r="D52" i="14"/>
  <c r="R51" i="14"/>
  <c r="N51" i="14"/>
  <c r="D51" i="14"/>
  <c r="R50" i="14"/>
  <c r="N50" i="14"/>
  <c r="D50" i="14"/>
  <c r="R49" i="14"/>
  <c r="N49" i="14"/>
  <c r="D49" i="14"/>
  <c r="R48" i="14"/>
  <c r="N48" i="14"/>
  <c r="G17" i="15" s="1"/>
  <c r="D48" i="14"/>
  <c r="J20" i="14"/>
  <c r="J21" i="14" s="1"/>
  <c r="I20" i="14"/>
  <c r="I21" i="14" s="1"/>
  <c r="H20" i="14"/>
  <c r="H21" i="14" s="1"/>
  <c r="G20" i="14"/>
  <c r="G21" i="14" s="1"/>
  <c r="F20" i="14"/>
  <c r="F21" i="14" s="1"/>
  <c r="E20" i="14"/>
  <c r="E21" i="14" s="1"/>
  <c r="D20" i="14"/>
  <c r="D21" i="14" s="1"/>
  <c r="C20" i="14"/>
  <c r="C21" i="14" s="1"/>
  <c r="B20" i="14"/>
  <c r="B21" i="14" s="1"/>
  <c r="K18" i="14"/>
  <c r="L18" i="14" s="1"/>
  <c r="M18" i="14" s="1"/>
  <c r="K16" i="14"/>
  <c r="K15" i="14"/>
  <c r="K14" i="14"/>
  <c r="L14" i="14" s="1"/>
  <c r="M14" i="14" s="1"/>
  <c r="K13" i="14"/>
  <c r="K12" i="14"/>
  <c r="K11" i="14"/>
  <c r="K10" i="14"/>
  <c r="L10" i="14" s="1"/>
  <c r="M10" i="14" s="1"/>
  <c r="K9" i="14"/>
  <c r="K8" i="14"/>
  <c r="K7" i="14"/>
  <c r="K6" i="14"/>
  <c r="L6" i="14" s="1"/>
  <c r="M6" i="14" s="1"/>
  <c r="K5" i="14"/>
  <c r="R54" i="13"/>
  <c r="N54" i="13"/>
  <c r="D54" i="13"/>
  <c r="R53" i="13"/>
  <c r="N53" i="13"/>
  <c r="D53" i="13"/>
  <c r="R52" i="13"/>
  <c r="N52" i="13"/>
  <c r="D52" i="13"/>
  <c r="R51" i="13"/>
  <c r="N51" i="13"/>
  <c r="D51" i="13"/>
  <c r="R50" i="13"/>
  <c r="N50" i="13"/>
  <c r="D50" i="13"/>
  <c r="R49" i="13"/>
  <c r="N49" i="13"/>
  <c r="D49" i="13"/>
  <c r="R48" i="13"/>
  <c r="N48" i="13"/>
  <c r="H17" i="15" s="1"/>
  <c r="D48" i="13"/>
  <c r="J20" i="13"/>
  <c r="J21" i="13" s="1"/>
  <c r="I20" i="13"/>
  <c r="I21" i="13" s="1"/>
  <c r="H20" i="13"/>
  <c r="H21" i="13" s="1"/>
  <c r="G20" i="13"/>
  <c r="G21" i="13" s="1"/>
  <c r="F20" i="13"/>
  <c r="F21" i="13" s="1"/>
  <c r="E20" i="13"/>
  <c r="E21" i="13" s="1"/>
  <c r="D20" i="13"/>
  <c r="D21" i="13" s="1"/>
  <c r="C20" i="13"/>
  <c r="C21" i="13" s="1"/>
  <c r="B20" i="13"/>
  <c r="B21" i="13" s="1"/>
  <c r="K18" i="13"/>
  <c r="L18" i="13" s="1"/>
  <c r="M18" i="13" s="1"/>
  <c r="K16" i="13"/>
  <c r="L16" i="13" s="1"/>
  <c r="M16" i="13" s="1"/>
  <c r="K15" i="13"/>
  <c r="K14" i="13"/>
  <c r="L14" i="13" s="1"/>
  <c r="M14" i="13" s="1"/>
  <c r="K13" i="13"/>
  <c r="K12" i="13"/>
  <c r="K11" i="13"/>
  <c r="K10" i="13"/>
  <c r="L10" i="13" s="1"/>
  <c r="M10" i="13" s="1"/>
  <c r="K9" i="13"/>
  <c r="K8" i="13"/>
  <c r="K7" i="13"/>
  <c r="K6" i="13"/>
  <c r="L6" i="13" s="1"/>
  <c r="M6" i="13" s="1"/>
  <c r="K5" i="13"/>
  <c r="K17" i="14" l="1"/>
  <c r="Q16" i="13"/>
  <c r="L8" i="13"/>
  <c r="M8" i="13" s="1"/>
  <c r="L12" i="13"/>
  <c r="M12" i="13" s="1"/>
  <c r="L8" i="14"/>
  <c r="M8" i="14" s="1"/>
  <c r="L12" i="14"/>
  <c r="M12" i="14" s="1"/>
  <c r="L16" i="14"/>
  <c r="M16" i="14" s="1"/>
  <c r="Q6" i="14"/>
  <c r="Q10" i="14"/>
  <c r="Q14" i="14"/>
  <c r="N6" i="14"/>
  <c r="P8" i="14"/>
  <c r="P10" i="14"/>
  <c r="P12" i="14"/>
  <c r="P14" i="14"/>
  <c r="N16" i="14"/>
  <c r="K20" i="14"/>
  <c r="K21" i="14" s="1"/>
  <c r="P6" i="14"/>
  <c r="N8" i="14"/>
  <c r="N10" i="14"/>
  <c r="N14" i="14"/>
  <c r="P16" i="14"/>
  <c r="L5" i="14"/>
  <c r="O6" i="14"/>
  <c r="L7" i="14"/>
  <c r="M7" i="14" s="1"/>
  <c r="O8" i="14"/>
  <c r="L9" i="14"/>
  <c r="M9" i="14" s="1"/>
  <c r="O10" i="14"/>
  <c r="L11" i="14"/>
  <c r="M11" i="14" s="1"/>
  <c r="O12" i="14"/>
  <c r="L13" i="14"/>
  <c r="M13" i="14" s="1"/>
  <c r="O14" i="14"/>
  <c r="L15" i="14"/>
  <c r="M15" i="14" s="1"/>
  <c r="O16" i="14"/>
  <c r="P6" i="13"/>
  <c r="K17" i="13"/>
  <c r="L5" i="13"/>
  <c r="K20" i="13"/>
  <c r="K21" i="13" s="1"/>
  <c r="Q6" i="13"/>
  <c r="N6" i="13"/>
  <c r="L7" i="13"/>
  <c r="M7" i="13" s="1"/>
  <c r="Q10" i="13"/>
  <c r="Q14" i="13"/>
  <c r="N10" i="13"/>
  <c r="P10" i="13"/>
  <c r="N14" i="13"/>
  <c r="P14" i="13"/>
  <c r="N16" i="13"/>
  <c r="P16" i="13"/>
  <c r="O6" i="13"/>
  <c r="O8" i="13"/>
  <c r="L9" i="13"/>
  <c r="M9" i="13" s="1"/>
  <c r="O10" i="13"/>
  <c r="L11" i="13"/>
  <c r="M11" i="13" s="1"/>
  <c r="L13" i="13"/>
  <c r="M13" i="13" s="1"/>
  <c r="O14" i="13"/>
  <c r="L15" i="13"/>
  <c r="M15" i="13" s="1"/>
  <c r="O16" i="13"/>
  <c r="K5" i="8"/>
  <c r="L5" i="8" s="1"/>
  <c r="K6" i="8"/>
  <c r="L6" i="8" s="1"/>
  <c r="K7" i="8"/>
  <c r="L7" i="8" s="1"/>
  <c r="K8" i="8"/>
  <c r="L8" i="8" s="1"/>
  <c r="M8" i="8" s="1"/>
  <c r="K9" i="8"/>
  <c r="L9" i="8" s="1"/>
  <c r="K10" i="8"/>
  <c r="L10" i="8" s="1"/>
  <c r="M10" i="8" s="1"/>
  <c r="K11" i="8"/>
  <c r="L11" i="8" s="1"/>
  <c r="K12" i="8"/>
  <c r="L12" i="8" s="1"/>
  <c r="M12" i="8" s="1"/>
  <c r="K13" i="8"/>
  <c r="L13" i="8" s="1"/>
  <c r="K14" i="8"/>
  <c r="L14" i="8" s="1"/>
  <c r="M14" i="8" s="1"/>
  <c r="K15" i="8"/>
  <c r="L15" i="8" s="1"/>
  <c r="K16" i="8"/>
  <c r="L16" i="8" s="1"/>
  <c r="M16" i="8" s="1"/>
  <c r="B17" i="8"/>
  <c r="C17" i="8"/>
  <c r="D17" i="8"/>
  <c r="E17" i="8"/>
  <c r="F17" i="8"/>
  <c r="G17" i="8"/>
  <c r="H17" i="8"/>
  <c r="I17" i="8"/>
  <c r="J17" i="8"/>
  <c r="K18" i="8"/>
  <c r="L18" i="8" s="1"/>
  <c r="M18" i="8" s="1"/>
  <c r="B20" i="8"/>
  <c r="B21" i="8" s="1"/>
  <c r="C20" i="8"/>
  <c r="C21" i="8" s="1"/>
  <c r="D20" i="8"/>
  <c r="D21" i="8" s="1"/>
  <c r="E20" i="8"/>
  <c r="E21" i="8" s="1"/>
  <c r="F20" i="8"/>
  <c r="F21" i="8" s="1"/>
  <c r="G20" i="8"/>
  <c r="G21" i="8" s="1"/>
  <c r="H20" i="8"/>
  <c r="H21" i="8" s="1"/>
  <c r="I20" i="8"/>
  <c r="I21" i="8" s="1"/>
  <c r="J20" i="8"/>
  <c r="J21" i="8" s="1"/>
  <c r="N48" i="8"/>
  <c r="R48" i="8"/>
  <c r="D49" i="8"/>
  <c r="N49" i="8"/>
  <c r="R49" i="8"/>
  <c r="D50" i="8"/>
  <c r="N50" i="8"/>
  <c r="R50" i="8"/>
  <c r="D51" i="8"/>
  <c r="N51" i="8"/>
  <c r="R51" i="8"/>
  <c r="D52" i="8"/>
  <c r="N52" i="8"/>
  <c r="R52" i="8"/>
  <c r="D53" i="8"/>
  <c r="N53" i="8"/>
  <c r="R53" i="8"/>
  <c r="D54" i="8"/>
  <c r="N54" i="8"/>
  <c r="R54" i="8"/>
  <c r="F17" i="15" l="1"/>
  <c r="P8" i="13"/>
  <c r="N12" i="13"/>
  <c r="N8" i="13"/>
  <c r="N12" i="14"/>
  <c r="N7" i="14"/>
  <c r="K20" i="8"/>
  <c r="K21" i="8" s="1"/>
  <c r="N9" i="13"/>
  <c r="K17" i="8"/>
  <c r="N15" i="14"/>
  <c r="O7" i="13"/>
  <c r="Q13" i="13"/>
  <c r="Q12" i="13"/>
  <c r="N13" i="13"/>
  <c r="O12" i="13"/>
  <c r="P12" i="13"/>
  <c r="Q9" i="13"/>
  <c r="P9" i="13"/>
  <c r="Q8" i="13"/>
  <c r="Q12" i="14"/>
  <c r="N11" i="14"/>
  <c r="Q16" i="14"/>
  <c r="Q8" i="14"/>
  <c r="N13" i="14"/>
  <c r="N9" i="14"/>
  <c r="L20" i="14"/>
  <c r="L21" i="14" s="1"/>
  <c r="L17" i="14"/>
  <c r="M5" i="14"/>
  <c r="O5" i="14" s="1"/>
  <c r="O15" i="14"/>
  <c r="Q13" i="14"/>
  <c r="Q11" i="14"/>
  <c r="Q9" i="14"/>
  <c r="Q7" i="14"/>
  <c r="P15" i="14"/>
  <c r="P11" i="14"/>
  <c r="P7" i="14"/>
  <c r="P13" i="14"/>
  <c r="Q15" i="14"/>
  <c r="O13" i="14"/>
  <c r="O11" i="14"/>
  <c r="O9" i="14"/>
  <c r="O7" i="14"/>
  <c r="Q5" i="14"/>
  <c r="P9" i="14"/>
  <c r="Q15" i="13"/>
  <c r="Q11" i="13"/>
  <c r="P15" i="13"/>
  <c r="P11" i="13"/>
  <c r="P7" i="13"/>
  <c r="N15" i="13"/>
  <c r="N11" i="13"/>
  <c r="O15" i="13"/>
  <c r="O13" i="13"/>
  <c r="O11" i="13"/>
  <c r="O9" i="13"/>
  <c r="Q7" i="13"/>
  <c r="N7" i="13"/>
  <c r="L20" i="13"/>
  <c r="L21" i="13" s="1"/>
  <c r="L17" i="13"/>
  <c r="M5" i="13"/>
  <c r="Q5" i="13" s="1"/>
  <c r="Q17" i="13" s="1"/>
  <c r="P5" i="13"/>
  <c r="P13" i="13"/>
  <c r="N14" i="8"/>
  <c r="P14" i="8"/>
  <c r="Q14" i="8"/>
  <c r="M13" i="8"/>
  <c r="Q13" i="8" s="1"/>
  <c r="N10" i="8"/>
  <c r="P10" i="8"/>
  <c r="O10" i="8"/>
  <c r="Q10" i="8"/>
  <c r="M9" i="8"/>
  <c r="Q9" i="8" s="1"/>
  <c r="O9" i="8"/>
  <c r="P9" i="8"/>
  <c r="M6" i="8"/>
  <c r="N6" i="8" s="1"/>
  <c r="N16" i="8"/>
  <c r="P16" i="8"/>
  <c r="M15" i="8"/>
  <c r="Q15" i="8" s="1"/>
  <c r="O15" i="8"/>
  <c r="N12" i="8"/>
  <c r="P12" i="8"/>
  <c r="Q12" i="8"/>
  <c r="M11" i="8"/>
  <c r="Q11" i="8" s="1"/>
  <c r="O11" i="8"/>
  <c r="P11" i="8"/>
  <c r="N8" i="8"/>
  <c r="P8" i="8"/>
  <c r="O8" i="8"/>
  <c r="Q8" i="8"/>
  <c r="M7" i="8"/>
  <c r="O7" i="8" s="1"/>
  <c r="P7" i="8"/>
  <c r="M5" i="8"/>
  <c r="O5" i="8" s="1"/>
  <c r="L17" i="8"/>
  <c r="P5" i="8"/>
  <c r="L20" i="8"/>
  <c r="L21" i="8" s="1"/>
  <c r="Q16" i="8"/>
  <c r="O16" i="8"/>
  <c r="P15" i="8"/>
  <c r="N15" i="8"/>
  <c r="O14" i="8"/>
  <c r="O12" i="8"/>
  <c r="N11" i="8"/>
  <c r="N7" i="8" l="1"/>
  <c r="Q7" i="8"/>
  <c r="N9" i="8"/>
  <c r="P13" i="8"/>
  <c r="N13" i="8"/>
  <c r="O13" i="8"/>
  <c r="Q17" i="14"/>
  <c r="P17" i="13"/>
  <c r="Q6" i="8"/>
  <c r="N5" i="8"/>
  <c r="Q5" i="8"/>
  <c r="O17" i="14"/>
  <c r="M17" i="14"/>
  <c r="M20" i="14"/>
  <c r="M21" i="14" s="1"/>
  <c r="N5" i="14"/>
  <c r="N17" i="14" s="1"/>
  <c r="P5" i="14"/>
  <c r="P17" i="14" s="1"/>
  <c r="M17" i="13"/>
  <c r="M20" i="13"/>
  <c r="M21" i="13" s="1"/>
  <c r="O5" i="13"/>
  <c r="O17" i="13" s="1"/>
  <c r="N5" i="13"/>
  <c r="N17" i="13" s="1"/>
  <c r="O6" i="8"/>
  <c r="O17" i="8" s="1"/>
  <c r="P6" i="8"/>
  <c r="P17" i="8" s="1"/>
  <c r="N17" i="8"/>
  <c r="M20" i="8"/>
  <c r="M21" i="8" s="1"/>
  <c r="M17" i="8"/>
  <c r="Q17" i="8" l="1"/>
</calcChain>
</file>

<file path=xl/sharedStrings.xml><?xml version="1.0" encoding="utf-8"?>
<sst xmlns="http://schemas.openxmlformats.org/spreadsheetml/2006/main" count="579" uniqueCount="253">
  <si>
    <t>Jan</t>
  </si>
  <si>
    <t>Feb</t>
  </si>
  <si>
    <t>Mar</t>
  </si>
  <si>
    <t>Apr</t>
  </si>
  <si>
    <t>May</t>
  </si>
  <si>
    <t>Jun</t>
  </si>
  <si>
    <t>Jul</t>
  </si>
  <si>
    <t>Aug</t>
  </si>
  <si>
    <t>Sep</t>
  </si>
  <si>
    <t>Oct</t>
  </si>
  <si>
    <t>Nov</t>
  </si>
  <si>
    <t>Dec</t>
  </si>
  <si>
    <t>Total</t>
  </si>
  <si>
    <t>Average</t>
  </si>
  <si>
    <t>Red Small</t>
  </si>
  <si>
    <t>Black Small</t>
  </si>
  <si>
    <t>Red Medium</t>
  </si>
  <si>
    <t>Red Large</t>
  </si>
  <si>
    <t>Black Medium</t>
  </si>
  <si>
    <t>Black Large</t>
  </si>
  <si>
    <t>White Small</t>
  </si>
  <si>
    <t>White Medium</t>
  </si>
  <si>
    <t>White Large</t>
  </si>
  <si>
    <t>Yellow Small</t>
  </si>
  <si>
    <t>Yellow Medium</t>
  </si>
  <si>
    <t>Yellow Large</t>
  </si>
  <si>
    <t>Number 
in pack</t>
  </si>
  <si>
    <t>Lowest Sales Month</t>
  </si>
  <si>
    <t>Highest Sales Month</t>
  </si>
  <si>
    <t>Customer Table</t>
  </si>
  <si>
    <t>Staff Table</t>
  </si>
  <si>
    <t>Date of Birth</t>
  </si>
  <si>
    <t>Health and Safety Training</t>
  </si>
  <si>
    <t>Pay per Hour</t>
  </si>
  <si>
    <t>Address</t>
  </si>
  <si>
    <t>Name</t>
  </si>
  <si>
    <t>Staff First Name</t>
  </si>
  <si>
    <t>Last Name</t>
  </si>
  <si>
    <t>Staff Number</t>
  </si>
  <si>
    <t>Post Code</t>
  </si>
  <si>
    <t>Sales 
Price (each)</t>
  </si>
  <si>
    <t>Full time of Part Time</t>
  </si>
  <si>
    <t>FT</t>
  </si>
  <si>
    <t>PT</t>
  </si>
  <si>
    <t>Job Role</t>
  </si>
  <si>
    <t>Owner</t>
  </si>
  <si>
    <t>Rupinder</t>
  </si>
  <si>
    <t>Singh</t>
  </si>
  <si>
    <t>Frank</t>
  </si>
  <si>
    <t>Mayfield</t>
  </si>
  <si>
    <t>Idris</t>
  </si>
  <si>
    <t>Mohammed</t>
  </si>
  <si>
    <t>M</t>
  </si>
  <si>
    <t>F</t>
  </si>
  <si>
    <t>Packer</t>
  </si>
  <si>
    <t>Accounts Clerk</t>
  </si>
  <si>
    <t>Sales Assistant</t>
  </si>
  <si>
    <t xml:space="preserve">Graphic Designer </t>
  </si>
  <si>
    <t>Web Designer</t>
  </si>
  <si>
    <t>Printer</t>
  </si>
  <si>
    <t>Design and IT</t>
  </si>
  <si>
    <t>Finance and Sales</t>
  </si>
  <si>
    <t>Absence since starting (days)</t>
  </si>
  <si>
    <t>18-21</t>
  </si>
  <si>
    <t>16-17</t>
  </si>
  <si>
    <t>Minimum Pay Scale 
(from 1 October 2009)</t>
  </si>
  <si>
    <t>FT - 40 hour week
PT - 15 hours per week</t>
  </si>
  <si>
    <t>Yes</t>
  </si>
  <si>
    <t>No</t>
  </si>
  <si>
    <t>Age today</t>
  </si>
  <si>
    <t>Number of hours worked this week</t>
  </si>
  <si>
    <t>Gross Pay</t>
  </si>
  <si>
    <t>002569</t>
  </si>
  <si>
    <t>005693</t>
  </si>
  <si>
    <t>001789</t>
  </si>
  <si>
    <t>001324</t>
  </si>
  <si>
    <t>003546</t>
  </si>
  <si>
    <t>005823</t>
  </si>
  <si>
    <t>008900</t>
  </si>
  <si>
    <t>Minimum Pay Scale</t>
  </si>
  <si>
    <t>Male or Female</t>
  </si>
  <si>
    <t>Overtime paid at time and a half normal pay</t>
  </si>
  <si>
    <t>Functional 
Area
(Dept.)</t>
  </si>
  <si>
    <t>Target number of sales of T-Shirts</t>
  </si>
  <si>
    <t>1 pack of Medium for each Colour</t>
  </si>
  <si>
    <t>Buyer Account Number</t>
  </si>
  <si>
    <t>Invoice Number</t>
  </si>
  <si>
    <t>0125</t>
  </si>
  <si>
    <t>0034</t>
  </si>
  <si>
    <t>1 pack of Red - Medium
1 pack Yellow - Small
1 pack White - Large</t>
  </si>
  <si>
    <t>0360</t>
  </si>
  <si>
    <t>P023</t>
  </si>
  <si>
    <t>City</t>
  </si>
  <si>
    <t>Telephone Number</t>
  </si>
  <si>
    <t>Contact Person</t>
  </si>
  <si>
    <t>Delivery Distance</t>
  </si>
  <si>
    <t>Your Address = Home Address</t>
  </si>
  <si>
    <t>Primark Ltd.</t>
  </si>
  <si>
    <t>Date of Order 01/12/09</t>
  </si>
  <si>
    <t>Delivery Charge</t>
  </si>
  <si>
    <t>Miles</t>
  </si>
  <si>
    <t>0-4</t>
  </si>
  <si>
    <t>5-20</t>
  </si>
  <si>
    <t>Over 20</t>
  </si>
  <si>
    <t>6 packs of all sizes for White and Black only</t>
  </si>
  <si>
    <t>Age today
Hide this Column</t>
  </si>
  <si>
    <t>Item Table</t>
  </si>
  <si>
    <t>Sales Table</t>
  </si>
  <si>
    <t>Ms Sonal Patel</t>
  </si>
  <si>
    <t>Total - hide this row</t>
  </si>
  <si>
    <t>High Street</t>
  </si>
  <si>
    <t>Croydon</t>
  </si>
  <si>
    <t>Croydon Promotions Ltd.</t>
  </si>
  <si>
    <t>College Road</t>
  </si>
  <si>
    <t>George Street</t>
  </si>
  <si>
    <t>5  Miles</t>
  </si>
  <si>
    <t>4 Mile</t>
  </si>
  <si>
    <t>6 miles</t>
  </si>
  <si>
    <t>CR9 1FG</t>
  </si>
  <si>
    <t>CR9 1DX</t>
  </si>
  <si>
    <t>CR( 1HR</t>
  </si>
  <si>
    <t>0208-2476793</t>
  </si>
  <si>
    <t>0208-7605901</t>
  </si>
  <si>
    <t>0208-2437890</t>
  </si>
  <si>
    <t>Mr Daniel  Gurr</t>
  </si>
  <si>
    <t>Mrs Ternesha Bansal</t>
  </si>
  <si>
    <t>P026</t>
  </si>
  <si>
    <t>P037</t>
  </si>
  <si>
    <t>Estimated sales from October 2010</t>
  </si>
  <si>
    <t>Bush</t>
  </si>
  <si>
    <t>Holly</t>
  </si>
  <si>
    <t>Bonsu</t>
  </si>
  <si>
    <t>Tree</t>
  </si>
  <si>
    <t>Target Sales(£) set by Croydon T-Shirts Owner</t>
  </si>
  <si>
    <t>Total Sales(£)</t>
  </si>
  <si>
    <t>Total Sales(£) Target (Above/Below/On Target)?</t>
  </si>
  <si>
    <t>Croydon T-Shirts - Croydon</t>
  </si>
  <si>
    <t>Croydon T-Shirts - Glasgow</t>
  </si>
  <si>
    <t>Croydon T-Shirts - Leeds</t>
  </si>
  <si>
    <t>Scott's Shopping Mall</t>
  </si>
  <si>
    <t>Glasgow</t>
  </si>
  <si>
    <t>0141-2476793</t>
  </si>
  <si>
    <t>G20 1FG</t>
  </si>
  <si>
    <t xml:space="preserve">Caledonian College </t>
  </si>
  <si>
    <t>Clyde Promotions Ltd.</t>
  </si>
  <si>
    <t>Highland Road</t>
  </si>
  <si>
    <t>Sauchiehall Street</t>
  </si>
  <si>
    <t xml:space="preserve">Croydon College </t>
  </si>
  <si>
    <t>GF4 7HG</t>
  </si>
  <si>
    <t>GF21 5TH</t>
  </si>
  <si>
    <t>Mr Sandy McTavish</t>
  </si>
  <si>
    <t>Mrs Purple Thistle</t>
  </si>
  <si>
    <t>Mr Rocky Crag</t>
  </si>
  <si>
    <t>Date of Order 01/12/10</t>
  </si>
  <si>
    <t>10  Miles</t>
  </si>
  <si>
    <t>2 Mile</t>
  </si>
  <si>
    <t>15 miles</t>
  </si>
  <si>
    <t>P189</t>
  </si>
  <si>
    <t>P190</t>
  </si>
  <si>
    <t>P196</t>
  </si>
  <si>
    <t>0141-7605901</t>
  </si>
  <si>
    <t>LS1  5YT</t>
  </si>
  <si>
    <t>LS7 2GH</t>
  </si>
  <si>
    <t>LS 9 3WJ</t>
  </si>
  <si>
    <t>0113-2476793</t>
  </si>
  <si>
    <t>0113-7605901</t>
  </si>
  <si>
    <t>0113-2437890</t>
  </si>
  <si>
    <t>Mr Eky Thump</t>
  </si>
  <si>
    <t>Ms Eeh Bygum</t>
  </si>
  <si>
    <t>Mr Ernie Sidebottom</t>
  </si>
  <si>
    <t>P223</t>
  </si>
  <si>
    <t>P226</t>
  </si>
  <si>
    <t>P237</t>
  </si>
  <si>
    <t>Leeds</t>
  </si>
  <si>
    <t>White Rose Shopping Centre</t>
  </si>
  <si>
    <t xml:space="preserve">Leeds College </t>
  </si>
  <si>
    <t>Learning Road</t>
  </si>
  <si>
    <t>Leeds Promotions Ltd.</t>
  </si>
  <si>
    <t>The Headrow</t>
  </si>
  <si>
    <t>2  Miles</t>
  </si>
  <si>
    <t>7 Mile</t>
  </si>
  <si>
    <t>11 miles</t>
  </si>
  <si>
    <t>15 packs of all sizes for Yellow and Black only</t>
  </si>
  <si>
    <t>221</t>
  </si>
  <si>
    <t>5 pack of Medium for each Colour</t>
  </si>
  <si>
    <t>234</t>
  </si>
  <si>
    <t>7 pack of Red - Medium
1 pack Yellow - Small
1 pack White - Large</t>
  </si>
  <si>
    <t>299</t>
  </si>
  <si>
    <t>Hamish</t>
  </si>
  <si>
    <t xml:space="preserve"> McCloud</t>
  </si>
  <si>
    <t xml:space="preserve">John </t>
  </si>
  <si>
    <t>Gilhooly</t>
  </si>
  <si>
    <t>Highland</t>
  </si>
  <si>
    <t>Fling</t>
  </si>
  <si>
    <t>Jimmy</t>
  </si>
  <si>
    <t>Haggis</t>
  </si>
  <si>
    <t>Rose</t>
  </si>
  <si>
    <t>Scotland</t>
  </si>
  <si>
    <t xml:space="preserve">Ford </t>
  </si>
  <si>
    <t>Ka</t>
  </si>
  <si>
    <t xml:space="preserve">Rose </t>
  </si>
  <si>
    <t>Garden</t>
  </si>
  <si>
    <t>Murray</t>
  </si>
  <si>
    <t>Field</t>
  </si>
  <si>
    <t>Elland</t>
  </si>
  <si>
    <t>Road</t>
  </si>
  <si>
    <t>Headrow</t>
  </si>
  <si>
    <t>Thia</t>
  </si>
  <si>
    <t xml:space="preserve">Kathy </t>
  </si>
  <si>
    <t>Skillington</t>
  </si>
  <si>
    <t>Gann</t>
  </si>
  <si>
    <t>Bob</t>
  </si>
  <si>
    <t>John</t>
  </si>
  <si>
    <t>Harrison</t>
  </si>
  <si>
    <t xml:space="preserve">Pat </t>
  </si>
  <si>
    <t>Sparling</t>
  </si>
  <si>
    <t>303546</t>
  </si>
  <si>
    <t>302569</t>
  </si>
  <si>
    <t>301789</t>
  </si>
  <si>
    <t>305693</t>
  </si>
  <si>
    <t>305823</t>
  </si>
  <si>
    <t>308900</t>
  </si>
  <si>
    <t>301324</t>
  </si>
  <si>
    <t>103546</t>
  </si>
  <si>
    <t>102569</t>
  </si>
  <si>
    <t>101789</t>
  </si>
  <si>
    <t>105693</t>
  </si>
  <si>
    <t>105823</t>
  </si>
  <si>
    <t>1008900</t>
  </si>
  <si>
    <t>101324</t>
  </si>
  <si>
    <t xml:space="preserve"> Sales Comparison Table</t>
  </si>
  <si>
    <t>January</t>
  </si>
  <si>
    <t>February</t>
  </si>
  <si>
    <t>March</t>
  </si>
  <si>
    <t>April</t>
  </si>
  <si>
    <t>June</t>
  </si>
  <si>
    <t>July</t>
  </si>
  <si>
    <t>August</t>
  </si>
  <si>
    <t>September</t>
  </si>
  <si>
    <t>October</t>
  </si>
  <si>
    <t>November</t>
  </si>
  <si>
    <t>December</t>
  </si>
  <si>
    <t>This report to the left shows a comparison between all the sales for each month between all the branches. Red means that the sales didn't meet the projected value and green means that the sales met or exceeded the projected sales value.</t>
  </si>
  <si>
    <t>Total Gross Pay Table</t>
  </si>
  <si>
    <t>Total Projected Sales</t>
  </si>
  <si>
    <t>Total Sales</t>
  </si>
  <si>
    <t>Target Sales &amp; Actual Sales Table</t>
  </si>
  <si>
    <t>Grand Total</t>
  </si>
  <si>
    <t>This is the pie chart that was created upon request. This pie chart displays the difference between the total gross salary for each centre by taking data from the "Total Gross Pay" table above the chart. Based on data shown on the chart, Leeds pays their workers more than the two other centres.</t>
  </si>
  <si>
    <t>Total/Year</t>
  </si>
  <si>
    <t>This is the bar chart comparing the projected sales and the actual sales of the company throughout the year. This bar chart does not display all the months, instead it just evaluates the total in a year for each centre. The result this bar chart displays is that Croydon T-Shirts do not meet their total projected sales on all the centres for the year.</t>
  </si>
  <si>
    <t>Branch/Months</t>
  </si>
  <si>
    <t>Total/Month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</si>
</sst>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Red]\-&quot;£&quot;#,##0"/>
    <numFmt numFmtId="44" formatCode="_-&quot;£&quot;* #,##0.00_-;\-&quot;£&quot;* #,##0.00_-;_-&quot;£&quot;* &quot;-&quot;??_-;_-@_-"/>
    <numFmt numFmtId="164" formatCode="&quot;£&quot;#,##0.00"/>
    <numFmt numFmtId="165" formatCode="&quot;£&quot;#,##0"/>
  </numFmts>
  <fonts count="13" x14ac:knownFonts="1">
    <font>
      <sz val="10"/>
      <color theme="1"/>
      <name val="Arial"/>
      <family val="2"/>
    </font>
    <font>
      <b/>
      <sz val="10"/>
      <color theme="0"/>
      <name val="Arial"/>
      <family val="2"/>
    </font>
    <font>
      <b/>
      <sz val="10"/>
      <color theme="1"/>
      <name val="Arial"/>
      <family val="2"/>
    </font>
    <font>
      <b/>
      <sz val="11"/>
      <color theme="1"/>
      <name val="Arial"/>
      <family val="2"/>
    </font>
    <font>
      <b/>
      <sz val="12"/>
      <color theme="1"/>
      <name val="Arial"/>
      <family val="2"/>
    </font>
    <font>
      <b/>
      <sz val="11"/>
      <color rgb="FFFFFF00"/>
      <name val="Arial"/>
      <family val="2"/>
    </font>
    <font>
      <sz val="10"/>
      <color theme="1"/>
      <name val="Arial"/>
      <family val="2"/>
    </font>
    <font>
      <b/>
      <sz val="16"/>
      <color theme="1"/>
      <name val="Arial"/>
      <family val="2"/>
    </font>
    <font>
      <b/>
      <i/>
      <sz val="10"/>
      <color theme="1"/>
      <name val="Arial"/>
      <family val="2"/>
    </font>
    <font>
      <b/>
      <sz val="10"/>
      <name val="Arial"/>
      <family val="2"/>
    </font>
    <font>
      <sz val="8"/>
      <name val="Arial"/>
      <family val="2"/>
    </font>
    <font>
      <sz val="10"/>
      <color rgb="FF00A408"/>
      <name val="Arial"/>
      <family val="2"/>
    </font>
    <font>
      <sz val="10"/>
      <color rgb="FFFF0000"/>
      <name val="Arial"/>
      <family val="2"/>
    </font>
  </fonts>
  <fills count="20">
    <fill>
      <patternFill patternType="none"/>
    </fill>
    <fill>
      <patternFill patternType="gray125"/>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0"/>
        <bgColor indexed="64"/>
      </patternFill>
    </fill>
    <fill>
      <patternFill patternType="solid">
        <fgColor theme="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9" tint="0.59996337778862885"/>
        <bgColor indexed="64"/>
      </patternFill>
    </fill>
    <fill>
      <patternFill patternType="solid">
        <fgColor theme="6" tint="0.39994506668294322"/>
        <bgColor indexed="64"/>
      </patternFill>
    </fill>
    <fill>
      <patternFill patternType="solid">
        <fgColor theme="4" tint="0.59999389629810485"/>
        <bgColor indexed="64"/>
      </patternFill>
    </fill>
    <fill>
      <patternFill patternType="solid">
        <fgColor rgb="FF21FF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44" fontId="6" fillId="0" borderId="0" applyFont="0" applyFill="0" applyBorder="0" applyAlignment="0" applyProtection="0"/>
  </cellStyleXfs>
  <cellXfs count="139">
    <xf numFmtId="0" fontId="0" fillId="0" borderId="0" xfId="0"/>
    <xf numFmtId="0" fontId="3" fillId="0" borderId="0" xfId="0" applyFont="1"/>
    <xf numFmtId="0" fontId="4" fillId="0" borderId="0" xfId="0" applyFont="1" applyFill="1" applyAlignment="1">
      <alignment horizontal="center"/>
    </xf>
    <xf numFmtId="0" fontId="2" fillId="0" borderId="0" xfId="0" applyFont="1" applyAlignment="1">
      <alignment horizontal="center" vertical="top" wrapText="1"/>
    </xf>
    <xf numFmtId="1" fontId="0" fillId="0" borderId="1" xfId="0" applyNumberFormat="1" applyBorder="1" applyAlignment="1">
      <alignment horizontal="center" vertical="top" wrapText="1"/>
    </xf>
    <xf numFmtId="0" fontId="0" fillId="0" borderId="0" xfId="0" applyAlignment="1">
      <alignment vertical="top" wrapText="1"/>
    </xf>
    <xf numFmtId="164" fontId="0" fillId="0" borderId="1" xfId="0" applyNumberFormat="1" applyBorder="1" applyAlignment="1">
      <alignment horizontal="center" vertical="top" wrapText="1"/>
    </xf>
    <xf numFmtId="2" fontId="0" fillId="4" borderId="1" xfId="0" applyNumberFormat="1" applyFill="1" applyBorder="1" applyAlignment="1">
      <alignment horizontal="center" vertical="top" wrapText="1"/>
    </xf>
    <xf numFmtId="1" fontId="0" fillId="4" borderId="1" xfId="0" applyNumberFormat="1" applyFill="1" applyBorder="1" applyAlignment="1">
      <alignment horizontal="center" vertical="top" wrapText="1"/>
    </xf>
    <xf numFmtId="49" fontId="0" fillId="0" borderId="1" xfId="0" applyNumberFormat="1" applyBorder="1" applyAlignment="1">
      <alignment horizontal="center" vertical="top" wrapText="1"/>
    </xf>
    <xf numFmtId="0" fontId="2" fillId="10" borderId="1" xfId="0" applyFont="1" applyFill="1" applyBorder="1" applyAlignment="1">
      <alignment horizontal="center" vertical="top" wrapText="1"/>
    </xf>
    <xf numFmtId="0" fontId="2" fillId="0" borderId="1" xfId="0" applyFont="1" applyBorder="1" applyAlignment="1">
      <alignment horizontal="center" vertical="top" wrapText="1"/>
    </xf>
    <xf numFmtId="14" fontId="0" fillId="0" borderId="1" xfId="0" applyNumberFormat="1" applyBorder="1" applyAlignment="1">
      <alignment horizontal="center" vertical="top" wrapText="1"/>
    </xf>
    <xf numFmtId="0" fontId="0" fillId="0" borderId="1" xfId="0" applyBorder="1" applyAlignment="1">
      <alignment horizontal="center" vertical="top" wrapText="1"/>
    </xf>
    <xf numFmtId="2" fontId="0" fillId="0" borderId="1" xfId="0" applyNumberFormat="1" applyBorder="1" applyAlignment="1">
      <alignment horizontal="center" vertical="top" wrapText="1"/>
    </xf>
    <xf numFmtId="6" fontId="0" fillId="0" borderId="1" xfId="0" applyNumberFormat="1" applyBorder="1" applyAlignment="1">
      <alignment horizontal="center" vertical="top" wrapText="1"/>
    </xf>
    <xf numFmtId="0" fontId="2" fillId="0" borderId="0" xfId="0" applyFont="1" applyFill="1" applyAlignment="1">
      <alignment horizontal="center" vertical="top" wrapText="1"/>
    </xf>
    <xf numFmtId="0" fontId="0" fillId="0" borderId="0" xfId="0" applyFill="1" applyAlignment="1">
      <alignment vertical="top" wrapText="1"/>
    </xf>
    <xf numFmtId="0" fontId="2" fillId="10" borderId="2" xfId="0" applyFont="1" applyFill="1" applyBorder="1" applyAlignment="1">
      <alignment vertical="top" wrapText="1"/>
    </xf>
    <xf numFmtId="0" fontId="8" fillId="0" borderId="0" xfId="0" applyFont="1" applyAlignment="1">
      <alignment horizontal="left" vertical="top" wrapText="1"/>
    </xf>
    <xf numFmtId="0" fontId="0" fillId="0" borderId="0" xfId="0" applyProtection="1">
      <protection locked="0"/>
    </xf>
    <xf numFmtId="0" fontId="5" fillId="3" borderId="0" xfId="0" applyFont="1" applyFill="1" applyAlignment="1" applyProtection="1">
      <alignment horizontal="center"/>
      <protection locked="0"/>
    </xf>
    <xf numFmtId="0" fontId="2" fillId="6" borderId="1" xfId="0" applyFont="1" applyFill="1" applyBorder="1" applyAlignment="1" applyProtection="1">
      <alignment horizontal="center" vertical="top" wrapText="1"/>
      <protection locked="0"/>
    </xf>
    <xf numFmtId="0" fontId="2" fillId="4" borderId="1" xfId="0" applyFont="1" applyFill="1" applyBorder="1" applyAlignment="1" applyProtection="1">
      <alignment horizontal="center" vertical="top" wrapText="1"/>
      <protection locked="0"/>
    </xf>
    <xf numFmtId="0" fontId="2" fillId="4" borderId="2" xfId="0" applyFont="1" applyFill="1" applyBorder="1" applyAlignment="1" applyProtection="1">
      <alignment horizontal="center" vertical="top" wrapText="1"/>
      <protection locked="0"/>
    </xf>
    <xf numFmtId="0" fontId="2" fillId="5" borderId="3" xfId="0" applyFont="1" applyFill="1" applyBorder="1" applyAlignment="1" applyProtection="1">
      <alignment horizontal="center" vertical="top" wrapText="1"/>
      <protection locked="0"/>
    </xf>
    <xf numFmtId="0" fontId="2" fillId="0" borderId="0" xfId="0" applyFont="1" applyAlignment="1" applyProtection="1">
      <alignment horizontal="center" vertical="top" wrapText="1"/>
      <protection locked="0"/>
    </xf>
    <xf numFmtId="0" fontId="2" fillId="7" borderId="4" xfId="0" applyFont="1" applyFill="1" applyBorder="1" applyAlignment="1" applyProtection="1">
      <alignment horizontal="left" vertical="top" wrapText="1"/>
      <protection locked="0"/>
    </xf>
    <xf numFmtId="1" fontId="0" fillId="0" borderId="1" xfId="0" applyNumberFormat="1" applyBorder="1" applyAlignment="1" applyProtection="1">
      <alignment horizontal="center" vertical="top" wrapText="1"/>
      <protection locked="0"/>
    </xf>
    <xf numFmtId="1" fontId="0" fillId="0" borderId="1" xfId="0" applyNumberFormat="1" applyFill="1" applyBorder="1" applyAlignment="1" applyProtection="1">
      <alignment horizontal="center" vertical="top" wrapText="1"/>
      <protection locked="0"/>
    </xf>
    <xf numFmtId="0" fontId="0" fillId="0" borderId="0" xfId="0" applyAlignment="1" applyProtection="1">
      <alignment vertical="top" wrapText="1"/>
      <protection locked="0"/>
    </xf>
    <xf numFmtId="0" fontId="1" fillId="9" borderId="4" xfId="0" applyFont="1" applyFill="1" applyBorder="1" applyAlignment="1" applyProtection="1">
      <alignment horizontal="left" vertical="top" wrapText="1"/>
      <protection locked="0"/>
    </xf>
    <xf numFmtId="0" fontId="2" fillId="8" borderId="4" xfId="0" applyFont="1" applyFill="1" applyBorder="1" applyAlignment="1" applyProtection="1">
      <alignment horizontal="left" vertical="top" wrapText="1"/>
      <protection locked="0"/>
    </xf>
    <xf numFmtId="0" fontId="2" fillId="6" borderId="4" xfId="0" applyFont="1" applyFill="1" applyBorder="1" applyAlignment="1" applyProtection="1">
      <alignment horizontal="left" vertical="top" wrapText="1"/>
      <protection locked="0"/>
    </xf>
    <xf numFmtId="0" fontId="2" fillId="14" borderId="1" xfId="0" applyFont="1" applyFill="1" applyBorder="1" applyAlignment="1" applyProtection="1">
      <alignment horizontal="left" vertical="top" wrapText="1"/>
      <protection locked="0"/>
    </xf>
    <xf numFmtId="0" fontId="2" fillId="5" borderId="1" xfId="0" applyFont="1" applyFill="1" applyBorder="1" applyAlignment="1" applyProtection="1">
      <alignment horizontal="left" vertical="top" wrapText="1"/>
      <protection locked="0"/>
    </xf>
    <xf numFmtId="1" fontId="2" fillId="0" borderId="7" xfId="0" applyNumberFormat="1" applyFont="1" applyFill="1" applyBorder="1" applyAlignment="1" applyProtection="1">
      <alignment vertical="top" wrapText="1"/>
      <protection locked="0"/>
    </xf>
    <xf numFmtId="0" fontId="2" fillId="12" borderId="1" xfId="0" applyFont="1" applyFill="1" applyBorder="1" applyAlignment="1" applyProtection="1">
      <alignment vertical="top" wrapText="1"/>
      <protection locked="0"/>
    </xf>
    <xf numFmtId="0" fontId="2" fillId="16" borderId="1" xfId="0" applyFont="1" applyFill="1" applyBorder="1" applyAlignment="1" applyProtection="1">
      <alignment vertical="top" wrapText="1"/>
      <protection locked="0"/>
    </xf>
    <xf numFmtId="0" fontId="8" fillId="17" borderId="1" xfId="0" applyFont="1" applyFill="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2" fillId="3" borderId="1" xfId="0" applyFont="1" applyFill="1" applyBorder="1" applyAlignment="1" applyProtection="1">
      <alignment horizontal="center" vertical="top" wrapText="1"/>
      <protection locked="0"/>
    </xf>
    <xf numFmtId="0" fontId="2" fillId="0" borderId="0" xfId="0" applyFont="1" applyFill="1" applyBorder="1" applyAlignment="1" applyProtection="1">
      <alignment horizontal="center" vertical="top" wrapText="1"/>
      <protection locked="0"/>
    </xf>
    <xf numFmtId="164" fontId="0" fillId="0" borderId="1" xfId="0" applyNumberFormat="1" applyBorder="1" applyAlignment="1" applyProtection="1">
      <alignment horizontal="center" vertical="top" wrapText="1"/>
      <protection locked="0"/>
    </xf>
    <xf numFmtId="0" fontId="2" fillId="0" borderId="0" xfId="0" applyFont="1" applyFill="1" applyBorder="1" applyAlignment="1" applyProtection="1">
      <alignment horizontal="left" vertical="top" wrapText="1"/>
      <protection locked="0"/>
    </xf>
    <xf numFmtId="164" fontId="0" fillId="0" borderId="0" xfId="0" applyNumberFormat="1" applyBorder="1" applyAlignment="1" applyProtection="1">
      <alignment horizontal="center" vertical="top" wrapText="1"/>
      <protection locked="0"/>
    </xf>
    <xf numFmtId="1" fontId="0" fillId="0" borderId="0" xfId="0" applyNumberFormat="1" applyFill="1" applyBorder="1" applyAlignment="1" applyProtection="1">
      <alignment horizontal="center" vertical="top" wrapText="1"/>
      <protection locked="0"/>
    </xf>
    <xf numFmtId="0" fontId="2" fillId="11" borderId="2" xfId="0" applyFont="1" applyFill="1" applyBorder="1" applyAlignment="1" applyProtection="1">
      <alignment vertical="top" wrapText="1"/>
      <protection locked="0"/>
    </xf>
    <xf numFmtId="0" fontId="2" fillId="11" borderId="1" xfId="0" applyFont="1" applyFill="1" applyBorder="1" applyAlignment="1" applyProtection="1">
      <alignment horizontal="center" vertical="top" wrapText="1"/>
      <protection locked="0"/>
    </xf>
    <xf numFmtId="0" fontId="2" fillId="15" borderId="1" xfId="0" applyFont="1" applyFill="1" applyBorder="1" applyAlignment="1" applyProtection="1">
      <alignment horizontal="center" vertical="top" wrapText="1"/>
      <protection locked="0"/>
    </xf>
    <xf numFmtId="0" fontId="0" fillId="15" borderId="1" xfId="0" applyFill="1" applyBorder="1" applyAlignment="1" applyProtection="1">
      <alignment horizontal="center" vertical="top" wrapText="1"/>
      <protection locked="0"/>
    </xf>
    <xf numFmtId="0" fontId="0" fillId="0" borderId="1" xfId="0" applyBorder="1" applyAlignment="1" applyProtection="1">
      <alignment horizontal="center" vertical="top" wrapText="1"/>
      <protection locked="0"/>
    </xf>
    <xf numFmtId="49" fontId="0" fillId="0" borderId="1" xfId="0" applyNumberFormat="1" applyBorder="1" applyAlignment="1" applyProtection="1">
      <alignment horizontal="center" vertical="top" wrapText="1"/>
      <protection locked="0"/>
    </xf>
    <xf numFmtId="0" fontId="0" fillId="0" borderId="0" xfId="0" applyAlignment="1" applyProtection="1">
      <alignment horizontal="center" vertical="top" wrapText="1"/>
      <protection locked="0"/>
    </xf>
    <xf numFmtId="0" fontId="0" fillId="0" borderId="1" xfId="0" applyBorder="1" applyAlignment="1" applyProtection="1">
      <alignment horizontal="left" vertical="top" wrapText="1"/>
      <protection locked="0"/>
    </xf>
    <xf numFmtId="165" fontId="0" fillId="0" borderId="1" xfId="1" applyNumberFormat="1" applyFont="1" applyBorder="1" applyAlignment="1" applyProtection="1">
      <alignment horizontal="center" vertical="top" wrapText="1"/>
      <protection locked="0"/>
    </xf>
    <xf numFmtId="0" fontId="0" fillId="0" borderId="0" xfId="0" applyFill="1" applyBorder="1" applyAlignment="1" applyProtection="1">
      <alignment horizontal="center" vertical="top" wrapText="1"/>
      <protection locked="0"/>
    </xf>
    <xf numFmtId="6" fontId="0" fillId="0" borderId="1" xfId="0" applyNumberFormat="1" applyBorder="1" applyAlignment="1" applyProtection="1">
      <alignment horizontal="center" vertical="top" wrapText="1"/>
      <protection locked="0"/>
    </xf>
    <xf numFmtId="0" fontId="0" fillId="0" borderId="0" xfId="0" applyFill="1" applyAlignment="1" applyProtection="1">
      <alignment vertical="top" wrapText="1"/>
      <protection locked="0"/>
    </xf>
    <xf numFmtId="164" fontId="0" fillId="0" borderId="1" xfId="0" applyNumberFormat="1" applyBorder="1" applyAlignment="1" applyProtection="1">
      <alignment horizontal="center" vertical="top" wrapText="1"/>
    </xf>
    <xf numFmtId="1" fontId="0" fillId="0" borderId="1" xfId="0" applyNumberFormat="1" applyBorder="1" applyAlignment="1" applyProtection="1">
      <alignment vertical="top" wrapText="1"/>
      <protection locked="0"/>
    </xf>
    <xf numFmtId="0" fontId="0" fillId="0" borderId="0" xfId="0" applyFont="1" applyFill="1" applyAlignment="1" applyProtection="1">
      <alignment horizontal="left" vertical="top" wrapText="1"/>
      <protection locked="0"/>
    </xf>
    <xf numFmtId="0" fontId="8" fillId="0" borderId="0" xfId="0" applyFont="1" applyFill="1" applyAlignment="1" applyProtection="1">
      <alignment horizontal="left" vertical="top" wrapText="1"/>
      <protection locked="0"/>
    </xf>
    <xf numFmtId="0" fontId="2" fillId="0" borderId="1" xfId="0" applyFont="1" applyFill="1" applyBorder="1" applyAlignment="1">
      <alignment horizontal="center" vertical="top" wrapText="1"/>
    </xf>
    <xf numFmtId="1" fontId="2" fillId="5" borderId="1" xfId="0" applyNumberFormat="1" applyFont="1" applyFill="1" applyBorder="1" applyAlignment="1" applyProtection="1">
      <alignment horizontal="center" vertical="center" wrapText="1"/>
      <protection locked="0"/>
    </xf>
    <xf numFmtId="165" fontId="0" fillId="12" borderId="1" xfId="0" applyNumberFormat="1" applyFill="1" applyBorder="1" applyAlignment="1" applyProtection="1">
      <alignment horizontal="center" vertical="center" wrapText="1"/>
      <protection locked="0"/>
    </xf>
    <xf numFmtId="164" fontId="0" fillId="12" borderId="1" xfId="0" applyNumberFormat="1" applyFill="1" applyBorder="1" applyAlignment="1" applyProtection="1">
      <alignment horizontal="center" vertical="center" wrapText="1"/>
      <protection locked="0"/>
    </xf>
    <xf numFmtId="164" fontId="2" fillId="16" borderId="1" xfId="0" applyNumberFormat="1" applyFont="1" applyFill="1" applyBorder="1" applyAlignment="1" applyProtection="1">
      <alignment horizontal="center" vertical="center" wrapText="1"/>
      <protection locked="0"/>
    </xf>
    <xf numFmtId="164" fontId="8" fillId="17" borderId="1" xfId="0" applyNumberFormat="1" applyFont="1" applyFill="1" applyBorder="1" applyAlignment="1" applyProtection="1">
      <alignment horizontal="center" vertical="center" wrapText="1"/>
      <protection locked="0"/>
    </xf>
    <xf numFmtId="0" fontId="2" fillId="5" borderId="1"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wrapText="1"/>
      <protection locked="0"/>
    </xf>
    <xf numFmtId="0" fontId="2" fillId="16" borderId="1" xfId="0" applyFont="1" applyFill="1" applyBorder="1" applyAlignment="1" applyProtection="1">
      <alignment horizontal="center" vertical="center" wrapText="1"/>
      <protection locked="0"/>
    </xf>
    <xf numFmtId="0" fontId="8" fillId="17" borderId="1" xfId="0" applyFont="1" applyFill="1" applyBorder="1" applyAlignment="1" applyProtection="1">
      <alignment horizontal="center" vertical="center" wrapText="1"/>
      <protection locked="0"/>
    </xf>
    <xf numFmtId="0" fontId="0" fillId="0" borderId="1" xfId="0" applyBorder="1" applyAlignment="1">
      <alignment horizontal="center"/>
    </xf>
    <xf numFmtId="0" fontId="9" fillId="5" borderId="1" xfId="0" applyFont="1" applyFill="1" applyBorder="1" applyAlignment="1">
      <alignment horizontal="center" vertical="center"/>
    </xf>
    <xf numFmtId="164" fontId="8" fillId="17" borderId="1" xfId="0" applyNumberFormat="1" applyFont="1" applyFill="1" applyBorder="1" applyAlignment="1" applyProtection="1">
      <alignment horizontal="center" vertical="center" wrapText="1"/>
    </xf>
    <xf numFmtId="0" fontId="0" fillId="18" borderId="1" xfId="0" applyFill="1" applyBorder="1" applyAlignment="1">
      <alignment horizontal="center"/>
    </xf>
    <xf numFmtId="44" fontId="0" fillId="0" borderId="1" xfId="1" applyFont="1" applyBorder="1"/>
    <xf numFmtId="44" fontId="11" fillId="0" borderId="1" xfId="1" applyFont="1" applyBorder="1"/>
    <xf numFmtId="44" fontId="12" fillId="0" borderId="1" xfId="1" applyFont="1" applyBorder="1"/>
    <xf numFmtId="44" fontId="12" fillId="0" borderId="1" xfId="1" applyFont="1" applyBorder="1" applyAlignment="1"/>
    <xf numFmtId="0" fontId="2" fillId="0" borderId="1" xfId="0" applyFont="1" applyBorder="1" applyAlignment="1">
      <alignment horizontal="center"/>
    </xf>
    <xf numFmtId="0" fontId="0" fillId="5" borderId="1" xfId="0" applyFill="1" applyBorder="1" applyAlignment="1">
      <alignment horizontal="center"/>
    </xf>
    <xf numFmtId="164" fontId="0" fillId="0" borderId="1" xfId="1" applyNumberFormat="1" applyFont="1" applyBorder="1"/>
    <xf numFmtId="0" fontId="0" fillId="0" borderId="0" xfId="0" applyBorder="1"/>
    <xf numFmtId="0" fontId="0" fillId="0" borderId="0" xfId="0" applyFill="1" applyBorder="1" applyAlignment="1"/>
    <xf numFmtId="0" fontId="0" fillId="0" borderId="10" xfId="0" applyBorder="1"/>
    <xf numFmtId="0" fontId="0" fillId="0" borderId="7" xfId="0" applyBorder="1"/>
    <xf numFmtId="0" fontId="0" fillId="0" borderId="11" xfId="0" applyBorder="1"/>
    <xf numFmtId="0" fontId="0" fillId="0" borderId="12" xfId="0" applyBorder="1"/>
    <xf numFmtId="0" fontId="0" fillId="0" borderId="13" xfId="0" applyBorder="1"/>
    <xf numFmtId="0" fontId="0" fillId="0" borderId="8" xfId="0" applyBorder="1"/>
    <xf numFmtId="0" fontId="0" fillId="0" borderId="9" xfId="0" applyBorder="1"/>
    <xf numFmtId="0" fontId="0" fillId="0" borderId="14" xfId="0" applyBorder="1"/>
    <xf numFmtId="0" fontId="0" fillId="0" borderId="10" xfId="0" applyFill="1" applyBorder="1"/>
    <xf numFmtId="0" fontId="0" fillId="0" borderId="7" xfId="0" applyFill="1" applyBorder="1"/>
    <xf numFmtId="0" fontId="0" fillId="0" borderId="11" xfId="0" applyFill="1" applyBorder="1"/>
    <xf numFmtId="0" fontId="0" fillId="0" borderId="12" xfId="0" applyFill="1" applyBorder="1"/>
    <xf numFmtId="0" fontId="0" fillId="0" borderId="0" xfId="0" applyFill="1" applyBorder="1"/>
    <xf numFmtId="0" fontId="0" fillId="0" borderId="8" xfId="0" applyFill="1" applyBorder="1"/>
    <xf numFmtId="0" fontId="0" fillId="0" borderId="9" xfId="0" applyFill="1" applyBorder="1"/>
    <xf numFmtId="0" fontId="0" fillId="0" borderId="13" xfId="0" applyFill="1" applyBorder="1"/>
    <xf numFmtId="0" fontId="0" fillId="0" borderId="14" xfId="0" applyFill="1" applyBorder="1"/>
    <xf numFmtId="44" fontId="2" fillId="0" borderId="1" xfId="0" applyNumberFormat="1" applyFont="1" applyBorder="1"/>
    <xf numFmtId="0" fontId="3" fillId="0" borderId="0" xfId="0" applyFont="1" applyFill="1" applyBorder="1" applyAlignment="1"/>
    <xf numFmtId="44" fontId="0" fillId="19" borderId="1" xfId="0" applyNumberFormat="1" applyFill="1" applyBorder="1"/>
    <xf numFmtId="44" fontId="0" fillId="19" borderId="1" xfId="1" applyFont="1" applyFill="1" applyBorder="1"/>
    <xf numFmtId="44" fontId="0" fillId="12" borderId="1" xfId="1" applyFont="1" applyFill="1" applyBorder="1"/>
    <xf numFmtId="44" fontId="0" fillId="12" borderId="1" xfId="0" applyNumberFormat="1" applyFill="1" applyBorder="1"/>
    <xf numFmtId="0" fontId="0" fillId="6" borderId="1" xfId="0" applyFill="1" applyBorder="1" applyAlignment="1">
      <alignment horizontal="center"/>
    </xf>
    <xf numFmtId="0" fontId="0" fillId="13" borderId="4" xfId="0" applyFill="1" applyBorder="1" applyAlignment="1">
      <alignment horizontal="center" vertical="top" wrapText="1"/>
    </xf>
    <xf numFmtId="0" fontId="0" fillId="13" borderId="6" xfId="0" applyFill="1" applyBorder="1" applyAlignment="1">
      <alignment horizontal="center" vertical="top" wrapText="1"/>
    </xf>
    <xf numFmtId="0" fontId="0" fillId="4" borderId="4" xfId="0" applyFill="1" applyBorder="1" applyAlignment="1">
      <alignment horizontal="left" vertical="top" wrapText="1"/>
    </xf>
    <xf numFmtId="0" fontId="0" fillId="4" borderId="5" xfId="0" applyFill="1" applyBorder="1" applyAlignment="1">
      <alignment horizontal="left" vertical="top" wrapText="1"/>
    </xf>
    <xf numFmtId="0" fontId="0" fillId="4" borderId="6" xfId="0" applyFill="1" applyBorder="1" applyAlignment="1">
      <alignment horizontal="left" vertical="top" wrapText="1"/>
    </xf>
    <xf numFmtId="0" fontId="7" fillId="2" borderId="0" xfId="0" applyFont="1" applyFill="1" applyAlignment="1">
      <alignment horizontal="center" vertical="center"/>
    </xf>
    <xf numFmtId="1" fontId="2" fillId="5" borderId="4" xfId="0" applyNumberFormat="1" applyFont="1" applyFill="1" applyBorder="1" applyAlignment="1" applyProtection="1">
      <alignment horizontal="left" vertical="top" wrapText="1"/>
      <protection locked="0"/>
    </xf>
    <xf numFmtId="1" fontId="2" fillId="5" borderId="5" xfId="0" applyNumberFormat="1" applyFont="1" applyFill="1" applyBorder="1" applyAlignment="1" applyProtection="1">
      <alignment horizontal="left" vertical="top" wrapText="1"/>
      <protection locked="0"/>
    </xf>
    <xf numFmtId="0" fontId="2" fillId="15" borderId="4" xfId="0" applyFont="1" applyFill="1" applyBorder="1" applyAlignment="1" applyProtection="1">
      <alignment horizontal="center" vertical="top" wrapText="1"/>
      <protection locked="0"/>
    </xf>
    <xf numFmtId="0" fontId="2" fillId="15" borderId="5" xfId="0" applyFont="1" applyFill="1" applyBorder="1" applyAlignment="1" applyProtection="1">
      <alignment horizontal="center" vertical="top" wrapText="1"/>
      <protection locked="0"/>
    </xf>
    <xf numFmtId="0" fontId="2" fillId="15" borderId="6" xfId="0" applyFont="1" applyFill="1" applyBorder="1" applyAlignment="1" applyProtection="1">
      <alignment horizontal="center" vertical="top" wrapText="1"/>
      <protection locked="0"/>
    </xf>
    <xf numFmtId="0" fontId="4" fillId="13" borderId="10" xfId="0" applyFont="1" applyFill="1" applyBorder="1" applyAlignment="1">
      <alignment horizontal="left" vertical="top" wrapText="1"/>
    </xf>
    <xf numFmtId="0" fontId="4" fillId="13" borderId="7" xfId="0" applyFont="1" applyFill="1" applyBorder="1" applyAlignment="1">
      <alignment horizontal="left" vertical="top" wrapText="1"/>
    </xf>
    <xf numFmtId="0" fontId="4" fillId="13" borderId="11" xfId="0" applyFont="1" applyFill="1" applyBorder="1" applyAlignment="1">
      <alignment horizontal="left" vertical="top" wrapText="1"/>
    </xf>
    <xf numFmtId="0" fontId="4" fillId="13" borderId="12" xfId="0" applyFont="1" applyFill="1" applyBorder="1" applyAlignment="1">
      <alignment horizontal="left" vertical="top" wrapText="1"/>
    </xf>
    <xf numFmtId="0" fontId="4" fillId="13" borderId="0" xfId="0" applyFont="1" applyFill="1" applyBorder="1" applyAlignment="1">
      <alignment horizontal="left" vertical="top" wrapText="1"/>
    </xf>
    <xf numFmtId="0" fontId="4" fillId="13" borderId="13" xfId="0" applyFont="1" applyFill="1" applyBorder="1" applyAlignment="1">
      <alignment horizontal="left" vertical="top" wrapText="1"/>
    </xf>
    <xf numFmtId="0" fontId="4" fillId="13" borderId="8" xfId="0" applyFont="1" applyFill="1" applyBorder="1" applyAlignment="1">
      <alignment horizontal="left" vertical="top" wrapText="1"/>
    </xf>
    <xf numFmtId="0" fontId="4" fillId="13" borderId="9" xfId="0" applyFont="1" applyFill="1" applyBorder="1" applyAlignment="1">
      <alignment horizontal="left" vertical="top" wrapText="1"/>
    </xf>
    <xf numFmtId="0" fontId="4" fillId="13" borderId="14" xfId="0" applyFont="1" applyFill="1" applyBorder="1" applyAlignment="1">
      <alignment horizontal="left" vertical="top" wrapText="1"/>
    </xf>
    <xf numFmtId="0" fontId="2" fillId="6" borderId="1" xfId="0" applyFont="1" applyFill="1" applyBorder="1" applyAlignment="1">
      <alignment horizontal="center"/>
    </xf>
    <xf numFmtId="0" fontId="2" fillId="13" borderId="1" xfId="0" applyFont="1" applyFill="1" applyBorder="1" applyAlignment="1">
      <alignment horizontal="center"/>
    </xf>
    <xf numFmtId="0" fontId="0" fillId="12" borderId="15" xfId="0" applyFill="1" applyBorder="1" applyAlignment="1">
      <alignment horizontal="left"/>
    </xf>
    <xf numFmtId="0" fontId="0" fillId="19" borderId="1" xfId="0" applyFill="1" applyBorder="1" applyAlignment="1">
      <alignment horizontal="left"/>
    </xf>
    <xf numFmtId="0" fontId="0" fillId="0" borderId="9" xfId="0" applyBorder="1" applyAlignment="1">
      <alignment horizontal="center"/>
    </xf>
    <xf numFmtId="0" fontId="0" fillId="0" borderId="14" xfId="0" applyBorder="1" applyAlignment="1">
      <alignment horizontal="center"/>
    </xf>
    <xf numFmtId="0" fontId="0" fillId="6" borderId="1" xfId="0" applyFill="1" applyBorder="1" applyAlignment="1">
      <alignment horizontal="center"/>
    </xf>
    <xf numFmtId="0" fontId="0" fillId="0" borderId="0" xfId="0" applyBorder="1" applyAlignment="1">
      <alignment horizontal="center"/>
    </xf>
    <xf numFmtId="0" fontId="0" fillId="0" borderId="13" xfId="0" applyBorder="1" applyAlignment="1">
      <alignment horizontal="center"/>
    </xf>
  </cellXfs>
  <cellStyles count="2">
    <cellStyle name="Currency" xfId="1" builtinId="4"/>
    <cellStyle name="Normal" xfId="0" builtinId="0"/>
  </cellStyles>
  <dxfs count="0"/>
  <tableStyles count="0" defaultTableStyle="TableStyleMedium9" defaultPivotStyle="PivotStyleLight16"/>
  <colors>
    <mruColors>
      <color rgb="FF21FF21"/>
      <color rgb="FF00A4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Gross Salary Comparison per Week</a:t>
            </a:r>
            <a:endParaRPr lang="en-GB" baseline="0"/>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A6D-4155-9D8F-365382EF9CB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4A6D-4155-9D8F-365382EF9CB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A6D-4155-9D8F-365382EF9CB0}"/>
              </c:ext>
            </c:extLst>
          </c:dPt>
          <c:dLbls>
            <c:dLbl>
              <c:idx val="0"/>
              <c:layout>
                <c:manualLayout>
                  <c:x val="-0.13246281714785652"/>
                  <c:y val="0.1436785505978419"/>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4A6D-4155-9D8F-365382EF9CB0}"/>
                </c:ext>
              </c:extLst>
            </c:dLbl>
            <c:dLbl>
              <c:idx val="1"/>
              <c:layout>
                <c:manualLayout>
                  <c:x val="-8.7465660542432197E-2"/>
                  <c:y val="-0.22748687664042003"/>
                </c:manualLayout>
              </c:layout>
              <c:tx>
                <c:rich>
                  <a:bodyPr/>
                  <a:lstStyle/>
                  <a:p>
                    <a:fld id="{BABD0973-7FCA-444B-BE46-5180D9C030F1}" type="CATEGORYNAME">
                      <a:rPr lang="en-US"/>
                      <a:pPr/>
                      <a:t>[CATEGORY NAME]</a:t>
                    </a:fld>
                    <a:r>
                      <a:rPr lang="en-US" baseline="0"/>
                      <a:t>
29%</a:t>
                    </a:r>
                  </a:p>
                </c:rich>
              </c:tx>
              <c:dLblPos val="bestFit"/>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2-4A6D-4155-9D8F-365382EF9CB0}"/>
                </c:ext>
              </c:extLst>
            </c:dLbl>
            <c:dLbl>
              <c:idx val="2"/>
              <c:layout>
                <c:manualLayout>
                  <c:x val="0.14794619422572178"/>
                  <c:y val="4.3632983377077862E-2"/>
                </c:manualLayout>
              </c:layout>
              <c:tx>
                <c:rich>
                  <a:bodyPr/>
                  <a:lstStyle/>
                  <a:p>
                    <a:fld id="{08DCAA44-5F42-4324-B810-909825EA2745}" type="CATEGORYNAME">
                      <a:rPr lang="en-US"/>
                      <a:pPr/>
                      <a:t>[CATEGORY NAME]</a:t>
                    </a:fld>
                    <a:r>
                      <a:rPr lang="en-US" baseline="0"/>
                      <a:t>
42%</a:t>
                    </a:r>
                  </a:p>
                </c:rich>
              </c:tx>
              <c:dLblPos val="bestFit"/>
              <c:showLegendKey val="0"/>
              <c:showVal val="0"/>
              <c:showCatName val="1"/>
              <c:showSerName val="0"/>
              <c:showPercent val="1"/>
              <c:showBubbleSize val="0"/>
              <c:extLst>
                <c:ext xmlns:c15="http://schemas.microsoft.com/office/drawing/2012/chart" uri="{CE6537A1-D6FC-4f65-9D91-7224C49458BB}">
                  <c15:layout/>
                  <c15:dlblFieldTable/>
                  <c15:showDataLabelsRange val="0"/>
                </c:ext>
                <c:ext xmlns:c16="http://schemas.microsoft.com/office/drawing/2014/chart" uri="{C3380CC4-5D6E-409C-BE32-E72D297353CC}">
                  <c16:uniqueId val="{00000001-4A6D-4155-9D8F-365382EF9CB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'MIS - P7 - Guilherme Soares'!$F$16:$H$16</c:f>
              <c:strCache>
                <c:ptCount val="3"/>
                <c:pt idx="0">
                  <c:v>Croydon</c:v>
                </c:pt>
                <c:pt idx="1">
                  <c:v>Glasgow</c:v>
                </c:pt>
                <c:pt idx="2">
                  <c:v>Leeds</c:v>
                </c:pt>
              </c:strCache>
            </c:strRef>
          </c:cat>
          <c:val>
            <c:numRef>
              <c:f>'MIS - P7 - Guilherme Soares'!$F$17:$H$17</c:f>
              <c:numCache>
                <c:formatCode>_("£"* #,##0.00_);_("£"* \(#,##0.00\);_("£"* "-"??_);_(@_)</c:formatCode>
                <c:ptCount val="3"/>
                <c:pt idx="0">
                  <c:v>1000.05</c:v>
                </c:pt>
                <c:pt idx="1">
                  <c:v>1000.05</c:v>
                </c:pt>
                <c:pt idx="2" formatCode="&quot;£&quot;#,##0.00">
                  <c:v>1371.25</c:v>
                </c:pt>
              </c:numCache>
            </c:numRef>
          </c:val>
          <c:extLst>
            <c:ext xmlns:c16="http://schemas.microsoft.com/office/drawing/2014/chart" uri="{C3380CC4-5D6E-409C-BE32-E72D297353CC}">
              <c16:uniqueId val="{00000000-4A6D-4155-9D8F-365382EF9CB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Target Sales vs Total Actual Sales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'MIS - P7 - Guilherme Soares'!$O$19:$P$19</c:f>
              <c:strCache>
                <c:ptCount val="2"/>
                <c:pt idx="0">
                  <c:v>Total Projected Sales</c:v>
                </c:pt>
              </c:strCache>
            </c:strRef>
          </c:tx>
          <c:spPr>
            <a:solidFill>
              <a:schemeClr val="accent4">
                <a:lumMod val="60000"/>
                <a:lumOff val="40000"/>
              </a:schemeClr>
            </a:solidFill>
            <a:ln>
              <a:noFill/>
            </a:ln>
            <a:effectLst/>
          </c:spPr>
          <c:invertIfNegative val="0"/>
          <c:cat>
            <c:strRef>
              <c:f>'MIS - P7 - Guilherme Soares'!$Q$18:$T$18</c:f>
              <c:strCache>
                <c:ptCount val="4"/>
                <c:pt idx="0">
                  <c:v>Croydon</c:v>
                </c:pt>
                <c:pt idx="1">
                  <c:v>Glasgow</c:v>
                </c:pt>
                <c:pt idx="2">
                  <c:v>Leeds</c:v>
                </c:pt>
                <c:pt idx="3">
                  <c:v>Grand Total</c:v>
                </c:pt>
              </c:strCache>
            </c:strRef>
          </c:cat>
          <c:val>
            <c:numRef>
              <c:f>'MIS - P7 - Guilherme Soares'!$Q$19:$T$19</c:f>
              <c:numCache>
                <c:formatCode>_("£"* #,##0.00_);_("£"* \(#,##0.00\);_("£"* "-"??_);_(@_)</c:formatCode>
                <c:ptCount val="4"/>
                <c:pt idx="0">
                  <c:v>200500</c:v>
                </c:pt>
                <c:pt idx="1">
                  <c:v>200500</c:v>
                </c:pt>
                <c:pt idx="2">
                  <c:v>200500</c:v>
                </c:pt>
                <c:pt idx="3">
                  <c:v>601500</c:v>
                </c:pt>
              </c:numCache>
            </c:numRef>
          </c:val>
          <c:extLst>
            <c:ext xmlns:c16="http://schemas.microsoft.com/office/drawing/2014/chart" uri="{C3380CC4-5D6E-409C-BE32-E72D297353CC}">
              <c16:uniqueId val="{00000000-B36F-405A-B40B-D2EDC16EC3E7}"/>
            </c:ext>
          </c:extLst>
        </c:ser>
        <c:ser>
          <c:idx val="1"/>
          <c:order val="1"/>
          <c:tx>
            <c:strRef>
              <c:f>'MIS - P7 - Guilherme Soares'!$O$20:$P$20</c:f>
              <c:strCache>
                <c:ptCount val="2"/>
                <c:pt idx="0">
                  <c:v>Total Sales</c:v>
                </c:pt>
              </c:strCache>
            </c:strRef>
          </c:tx>
          <c:spPr>
            <a:solidFill>
              <a:srgbClr val="21FF21"/>
            </a:solidFill>
            <a:ln>
              <a:noFill/>
            </a:ln>
            <a:effectLst/>
          </c:spPr>
          <c:invertIfNegative val="0"/>
          <c:cat>
            <c:strRef>
              <c:f>'MIS - P7 - Guilherme Soares'!$Q$18:$T$18</c:f>
              <c:strCache>
                <c:ptCount val="4"/>
                <c:pt idx="0">
                  <c:v>Croydon</c:v>
                </c:pt>
                <c:pt idx="1">
                  <c:v>Glasgow</c:v>
                </c:pt>
                <c:pt idx="2">
                  <c:v>Leeds</c:v>
                </c:pt>
                <c:pt idx="3">
                  <c:v>Grand Total</c:v>
                </c:pt>
              </c:strCache>
            </c:strRef>
          </c:cat>
          <c:val>
            <c:numRef>
              <c:f>'MIS - P7 - Guilherme Soares'!$Q$20:$T$20</c:f>
              <c:numCache>
                <c:formatCode>_("£"* #,##0.00_);_("£"* \(#,##0.00\);_("£"* "-"??_);_(@_)</c:formatCode>
                <c:ptCount val="4"/>
                <c:pt idx="0">
                  <c:v>207066.14</c:v>
                </c:pt>
                <c:pt idx="1">
                  <c:v>184984.05</c:v>
                </c:pt>
                <c:pt idx="2">
                  <c:v>195995.32</c:v>
                </c:pt>
                <c:pt idx="3">
                  <c:v>588045.51</c:v>
                </c:pt>
              </c:numCache>
            </c:numRef>
          </c:val>
          <c:extLst>
            <c:ext xmlns:c16="http://schemas.microsoft.com/office/drawing/2014/chart" uri="{C3380CC4-5D6E-409C-BE32-E72D297353CC}">
              <c16:uniqueId val="{00000001-B36F-405A-B40B-D2EDC16EC3E7}"/>
            </c:ext>
          </c:extLst>
        </c:ser>
        <c:dLbls>
          <c:showLegendKey val="0"/>
          <c:showVal val="0"/>
          <c:showCatName val="0"/>
          <c:showSerName val="0"/>
          <c:showPercent val="0"/>
          <c:showBubbleSize val="0"/>
        </c:dLbls>
        <c:gapWidth val="219"/>
        <c:overlap val="-27"/>
        <c:axId val="876354688"/>
        <c:axId val="876354032"/>
      </c:barChart>
      <c:catAx>
        <c:axId val="87635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354032"/>
        <c:crosses val="autoZero"/>
        <c:auto val="1"/>
        <c:lblAlgn val="ctr"/>
        <c:lblOffset val="100"/>
        <c:noMultiLvlLbl val="0"/>
      </c:catAx>
      <c:valAx>
        <c:axId val="8763540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63546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219075</xdr:colOff>
      <xdr:row>17</xdr:row>
      <xdr:rowOff>57149</xdr:rowOff>
    </xdr:from>
    <xdr:to>
      <xdr:col>9</xdr:col>
      <xdr:colOff>581025</xdr:colOff>
      <xdr:row>35</xdr:row>
      <xdr:rowOff>85724</xdr:rowOff>
    </xdr:to>
    <xdr:graphicFrame macro="">
      <xdr:nvGraphicFramePr>
        <xdr:cNvPr id="2" name="Chart 1">
          <a:extLst>
            <a:ext uri="{FF2B5EF4-FFF2-40B4-BE49-F238E27FC236}">
              <a16:creationId xmlns:a16="http://schemas.microsoft.com/office/drawing/2014/main" id="{0164337B-B346-49A9-B35B-A89C7CC894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295274</xdr:colOff>
      <xdr:row>20</xdr:row>
      <xdr:rowOff>76200</xdr:rowOff>
    </xdr:from>
    <xdr:to>
      <xdr:col>21</xdr:col>
      <xdr:colOff>323850</xdr:colOff>
      <xdr:row>42</xdr:row>
      <xdr:rowOff>114300</xdr:rowOff>
    </xdr:to>
    <xdr:graphicFrame macro="">
      <xdr:nvGraphicFramePr>
        <xdr:cNvPr id="5" name="Chart 4">
          <a:extLst>
            <a:ext uri="{FF2B5EF4-FFF2-40B4-BE49-F238E27FC236}">
              <a16:creationId xmlns:a16="http://schemas.microsoft.com/office/drawing/2014/main" id="{956B9B1E-94C9-4377-A276-39A4DEDAD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80"/>
  <sheetViews>
    <sheetView zoomScale="75" zoomScaleNormal="75" workbookViewId="0">
      <selection activeCell="B20" sqref="B20"/>
    </sheetView>
  </sheetViews>
  <sheetFormatPr defaultRowHeight="12.75" x14ac:dyDescent="0.2"/>
  <cols>
    <col min="1" max="1" width="18.28515625" bestFit="1" customWidth="1"/>
    <col min="2" max="2" width="14.5703125" bestFit="1" customWidth="1"/>
    <col min="3" max="3" width="14.85546875" bestFit="1" customWidth="1"/>
    <col min="4" max="4" width="14.140625" bestFit="1" customWidth="1"/>
    <col min="5" max="5" width="17.140625" customWidth="1"/>
    <col min="6" max="6" width="17.42578125" bestFit="1" customWidth="1"/>
    <col min="7" max="7" width="14.85546875" bestFit="1" customWidth="1"/>
    <col min="8" max="8" width="14.28515625" bestFit="1" customWidth="1"/>
    <col min="9" max="9" width="16.5703125" bestFit="1" customWidth="1"/>
    <col min="10" max="10" width="19.140625" bestFit="1" customWidth="1"/>
    <col min="11" max="12" width="13.28515625" bestFit="1" customWidth="1"/>
    <col min="13" max="13" width="15.7109375" bestFit="1" customWidth="1"/>
    <col min="14" max="14" width="14" customWidth="1"/>
    <col min="15" max="15" width="8.7109375" customWidth="1"/>
  </cols>
  <sheetData>
    <row r="1" spans="1:18" ht="31.5" customHeight="1" x14ac:dyDescent="0.25">
      <c r="A1" s="1"/>
      <c r="G1" s="115" t="s">
        <v>136</v>
      </c>
      <c r="H1" s="115"/>
      <c r="I1" s="115"/>
      <c r="J1" s="115"/>
      <c r="K1" s="115"/>
    </row>
    <row r="2" spans="1:18" ht="15.75" x14ac:dyDescent="0.25">
      <c r="A2" s="1"/>
      <c r="E2" s="2"/>
      <c r="F2" s="2"/>
      <c r="G2" s="2"/>
      <c r="H2" s="2"/>
      <c r="I2" s="2"/>
      <c r="J2" s="2"/>
      <c r="K2" s="2"/>
    </row>
    <row r="3" spans="1:18" ht="15" customHeight="1" x14ac:dyDescent="0.25">
      <c r="A3" s="21">
        <v>2010</v>
      </c>
      <c r="B3" s="20"/>
      <c r="C3" s="20"/>
      <c r="D3" s="20"/>
      <c r="E3" s="20"/>
      <c r="F3" s="20"/>
      <c r="G3" s="20"/>
      <c r="H3" s="20"/>
      <c r="I3" s="20"/>
      <c r="J3" s="20"/>
      <c r="K3" s="116" t="s">
        <v>128</v>
      </c>
      <c r="L3" s="117"/>
      <c r="M3" s="117"/>
      <c r="N3" s="117"/>
      <c r="O3" s="20"/>
      <c r="P3" s="20"/>
      <c r="Q3" s="20"/>
      <c r="R3" s="20"/>
    </row>
    <row r="4" spans="1:18" s="3" customFormat="1" ht="40.5" customHeight="1" x14ac:dyDescent="0.2">
      <c r="A4" s="22" t="s">
        <v>107</v>
      </c>
      <c r="B4" s="23" t="s">
        <v>0</v>
      </c>
      <c r="C4" s="23" t="s">
        <v>1</v>
      </c>
      <c r="D4" s="23" t="s">
        <v>2</v>
      </c>
      <c r="E4" s="23" t="s">
        <v>3</v>
      </c>
      <c r="F4" s="23" t="s">
        <v>4</v>
      </c>
      <c r="G4" s="24" t="s">
        <v>5</v>
      </c>
      <c r="H4" s="24" t="s">
        <v>6</v>
      </c>
      <c r="I4" s="24" t="s">
        <v>7</v>
      </c>
      <c r="J4" s="24" t="s">
        <v>8</v>
      </c>
      <c r="K4" s="24" t="s">
        <v>9</v>
      </c>
      <c r="L4" s="24" t="s">
        <v>10</v>
      </c>
      <c r="M4" s="24" t="s">
        <v>11</v>
      </c>
      <c r="N4" s="25" t="s">
        <v>12</v>
      </c>
      <c r="O4" s="25" t="s">
        <v>13</v>
      </c>
      <c r="P4" s="25" t="s">
        <v>27</v>
      </c>
      <c r="Q4" s="25" t="s">
        <v>28</v>
      </c>
      <c r="R4" s="26"/>
    </row>
    <row r="5" spans="1:18" s="5" customFormat="1" x14ac:dyDescent="0.2">
      <c r="A5" s="27" t="s">
        <v>14</v>
      </c>
      <c r="B5" s="28">
        <v>300</v>
      </c>
      <c r="C5" s="28">
        <v>350</v>
      </c>
      <c r="D5" s="28">
        <v>400</v>
      </c>
      <c r="E5" s="28">
        <v>450</v>
      </c>
      <c r="F5" s="28">
        <v>500</v>
      </c>
      <c r="G5" s="28">
        <v>550</v>
      </c>
      <c r="H5" s="28">
        <v>600</v>
      </c>
      <c r="I5" s="28">
        <v>650</v>
      </c>
      <c r="J5" s="28">
        <v>700</v>
      </c>
      <c r="K5" s="29">
        <f t="shared" ref="K5:L16" si="0">J5+(J5*10/100)</f>
        <v>770</v>
      </c>
      <c r="L5" s="29">
        <f t="shared" si="0"/>
        <v>847</v>
      </c>
      <c r="M5" s="29">
        <f t="shared" ref="M5:M16" si="1">L5+(L5*30/100)</f>
        <v>1101.0999999999999</v>
      </c>
      <c r="N5" s="60">
        <f t="shared" ref="N5:N16" si="2">SUM(B5:M5)</f>
        <v>7218.1</v>
      </c>
      <c r="O5" s="60">
        <f t="shared" ref="O5:O16" si="3">AVERAGE(B5:M5)</f>
        <v>601.50833333333333</v>
      </c>
      <c r="P5" s="28">
        <f t="shared" ref="P5:P16" si="4">MIN(B5:M5)</f>
        <v>300</v>
      </c>
      <c r="Q5" s="28">
        <f t="shared" ref="Q5:Q16" si="5">MAX(B5:M5)</f>
        <v>1101.0999999999999</v>
      </c>
      <c r="R5" s="30"/>
    </row>
    <row r="6" spans="1:18" s="5" customFormat="1" x14ac:dyDescent="0.2">
      <c r="A6" s="27" t="s">
        <v>16</v>
      </c>
      <c r="B6" s="28">
        <v>400</v>
      </c>
      <c r="C6" s="28">
        <v>420</v>
      </c>
      <c r="D6" s="28">
        <v>440</v>
      </c>
      <c r="E6" s="28">
        <v>430</v>
      </c>
      <c r="F6" s="28">
        <v>420</v>
      </c>
      <c r="G6" s="28">
        <v>410</v>
      </c>
      <c r="H6" s="28">
        <v>400</v>
      </c>
      <c r="I6" s="28">
        <v>390</v>
      </c>
      <c r="J6" s="28">
        <v>380</v>
      </c>
      <c r="K6" s="29">
        <f t="shared" si="0"/>
        <v>418</v>
      </c>
      <c r="L6" s="29">
        <f t="shared" si="0"/>
        <v>459.8</v>
      </c>
      <c r="M6" s="29">
        <f t="shared" si="1"/>
        <v>597.74</v>
      </c>
      <c r="N6" s="60">
        <f t="shared" si="2"/>
        <v>5165.54</v>
      </c>
      <c r="O6" s="60">
        <f t="shared" si="3"/>
        <v>430.46166666666664</v>
      </c>
      <c r="P6" s="28">
        <f t="shared" si="4"/>
        <v>380</v>
      </c>
      <c r="Q6" s="28">
        <f t="shared" si="5"/>
        <v>597.74</v>
      </c>
      <c r="R6" s="30"/>
    </row>
    <row r="7" spans="1:18" s="5" customFormat="1" x14ac:dyDescent="0.2">
      <c r="A7" s="27" t="s">
        <v>17</v>
      </c>
      <c r="B7" s="28">
        <v>200</v>
      </c>
      <c r="C7" s="28">
        <v>250</v>
      </c>
      <c r="D7" s="28">
        <v>300</v>
      </c>
      <c r="E7" s="28">
        <v>350</v>
      </c>
      <c r="F7" s="28">
        <v>400</v>
      </c>
      <c r="G7" s="28">
        <v>450</v>
      </c>
      <c r="H7" s="28">
        <v>500</v>
      </c>
      <c r="I7" s="28">
        <v>550</v>
      </c>
      <c r="J7" s="28">
        <v>600</v>
      </c>
      <c r="K7" s="29">
        <f t="shared" si="0"/>
        <v>660</v>
      </c>
      <c r="L7" s="29">
        <f t="shared" si="0"/>
        <v>726</v>
      </c>
      <c r="M7" s="29">
        <f t="shared" si="1"/>
        <v>943.8</v>
      </c>
      <c r="N7" s="60">
        <f t="shared" si="2"/>
        <v>5929.8</v>
      </c>
      <c r="O7" s="60">
        <f t="shared" si="3"/>
        <v>494.15000000000003</v>
      </c>
      <c r="P7" s="28">
        <f t="shared" si="4"/>
        <v>200</v>
      </c>
      <c r="Q7" s="28">
        <f t="shared" si="5"/>
        <v>943.8</v>
      </c>
      <c r="R7" s="30"/>
    </row>
    <row r="8" spans="1:18" s="5" customFormat="1" x14ac:dyDescent="0.2">
      <c r="A8" s="31" t="s">
        <v>15</v>
      </c>
      <c r="B8" s="28">
        <v>500</v>
      </c>
      <c r="C8" s="28">
        <v>540</v>
      </c>
      <c r="D8" s="28">
        <v>580</v>
      </c>
      <c r="E8" s="28">
        <v>620</v>
      </c>
      <c r="F8" s="28">
        <v>660</v>
      </c>
      <c r="G8" s="28">
        <v>700</v>
      </c>
      <c r="H8" s="28">
        <v>740</v>
      </c>
      <c r="I8" s="28">
        <v>780</v>
      </c>
      <c r="J8" s="28">
        <v>820</v>
      </c>
      <c r="K8" s="29">
        <f t="shared" si="0"/>
        <v>902</v>
      </c>
      <c r="L8" s="29">
        <f t="shared" si="0"/>
        <v>992.2</v>
      </c>
      <c r="M8" s="29">
        <f t="shared" si="1"/>
        <v>1289.8600000000001</v>
      </c>
      <c r="N8" s="60">
        <f t="shared" si="2"/>
        <v>9124.06</v>
      </c>
      <c r="O8" s="60">
        <f t="shared" si="3"/>
        <v>760.33833333333325</v>
      </c>
      <c r="P8" s="28">
        <f t="shared" si="4"/>
        <v>500</v>
      </c>
      <c r="Q8" s="28">
        <f t="shared" si="5"/>
        <v>1289.8600000000001</v>
      </c>
      <c r="R8" s="30"/>
    </row>
    <row r="9" spans="1:18" s="5" customFormat="1" x14ac:dyDescent="0.2">
      <c r="A9" s="31" t="s">
        <v>18</v>
      </c>
      <c r="B9" s="28">
        <v>300</v>
      </c>
      <c r="C9" s="28">
        <v>320</v>
      </c>
      <c r="D9" s="28">
        <v>340</v>
      </c>
      <c r="E9" s="28">
        <v>360</v>
      </c>
      <c r="F9" s="28">
        <v>380</v>
      </c>
      <c r="G9" s="28">
        <v>450</v>
      </c>
      <c r="H9" s="28">
        <v>420</v>
      </c>
      <c r="I9" s="28">
        <v>440</v>
      </c>
      <c r="J9" s="28">
        <v>460</v>
      </c>
      <c r="K9" s="29">
        <f t="shared" si="0"/>
        <v>506</v>
      </c>
      <c r="L9" s="29">
        <f t="shared" si="0"/>
        <v>556.6</v>
      </c>
      <c r="M9" s="29">
        <f t="shared" si="1"/>
        <v>723.58</v>
      </c>
      <c r="N9" s="60">
        <f t="shared" si="2"/>
        <v>5256.18</v>
      </c>
      <c r="O9" s="60">
        <f t="shared" si="3"/>
        <v>438.01500000000004</v>
      </c>
      <c r="P9" s="28">
        <f t="shared" si="4"/>
        <v>300</v>
      </c>
      <c r="Q9" s="28">
        <f t="shared" si="5"/>
        <v>723.58</v>
      </c>
      <c r="R9" s="30"/>
    </row>
    <row r="10" spans="1:18" s="5" customFormat="1" x14ac:dyDescent="0.2">
      <c r="A10" s="31" t="s">
        <v>19</v>
      </c>
      <c r="B10" s="28">
        <v>400</v>
      </c>
      <c r="C10" s="28">
        <v>410</v>
      </c>
      <c r="D10" s="28">
        <v>420</v>
      </c>
      <c r="E10" s="28">
        <v>430</v>
      </c>
      <c r="F10" s="28">
        <v>440</v>
      </c>
      <c r="G10" s="28">
        <v>450</v>
      </c>
      <c r="H10" s="28">
        <v>460</v>
      </c>
      <c r="I10" s="28">
        <v>470</v>
      </c>
      <c r="J10" s="28">
        <v>480</v>
      </c>
      <c r="K10" s="29">
        <f t="shared" si="0"/>
        <v>528</v>
      </c>
      <c r="L10" s="29">
        <f t="shared" si="0"/>
        <v>580.79999999999995</v>
      </c>
      <c r="M10" s="29">
        <f t="shared" si="1"/>
        <v>755.04</v>
      </c>
      <c r="N10" s="60">
        <f t="shared" si="2"/>
        <v>5823.84</v>
      </c>
      <c r="O10" s="60">
        <f t="shared" si="3"/>
        <v>485.32</v>
      </c>
      <c r="P10" s="28">
        <f t="shared" si="4"/>
        <v>400</v>
      </c>
      <c r="Q10" s="28">
        <f t="shared" si="5"/>
        <v>755.04</v>
      </c>
      <c r="R10" s="30"/>
    </row>
    <row r="11" spans="1:18" s="5" customFormat="1" x14ac:dyDescent="0.2">
      <c r="A11" s="32" t="s">
        <v>20</v>
      </c>
      <c r="B11" s="28">
        <v>600</v>
      </c>
      <c r="C11" s="28">
        <v>590</v>
      </c>
      <c r="D11" s="28">
        <v>580</v>
      </c>
      <c r="E11" s="28">
        <v>570</v>
      </c>
      <c r="F11" s="28">
        <v>560</v>
      </c>
      <c r="G11" s="28">
        <v>550</v>
      </c>
      <c r="H11" s="28">
        <v>540</v>
      </c>
      <c r="I11" s="28">
        <v>530</v>
      </c>
      <c r="J11" s="28">
        <v>520</v>
      </c>
      <c r="K11" s="29">
        <f t="shared" si="0"/>
        <v>572</v>
      </c>
      <c r="L11" s="29">
        <f t="shared" si="0"/>
        <v>629.20000000000005</v>
      </c>
      <c r="M11" s="29">
        <f t="shared" si="1"/>
        <v>817.96</v>
      </c>
      <c r="N11" s="60">
        <f t="shared" si="2"/>
        <v>7059.16</v>
      </c>
      <c r="O11" s="60">
        <f t="shared" si="3"/>
        <v>588.26333333333332</v>
      </c>
      <c r="P11" s="28">
        <f t="shared" si="4"/>
        <v>520</v>
      </c>
      <c r="Q11" s="28">
        <f t="shared" si="5"/>
        <v>817.96</v>
      </c>
      <c r="R11" s="30"/>
    </row>
    <row r="12" spans="1:18" s="5" customFormat="1" x14ac:dyDescent="0.2">
      <c r="A12" s="32" t="s">
        <v>21</v>
      </c>
      <c r="B12" s="28">
        <v>800</v>
      </c>
      <c r="C12" s="28">
        <v>840</v>
      </c>
      <c r="D12" s="28">
        <v>880</v>
      </c>
      <c r="E12" s="28">
        <v>920</v>
      </c>
      <c r="F12" s="28">
        <v>960</v>
      </c>
      <c r="G12" s="28">
        <v>900</v>
      </c>
      <c r="H12" s="28">
        <v>1040</v>
      </c>
      <c r="I12" s="28">
        <v>1080</v>
      </c>
      <c r="J12" s="28">
        <v>1120</v>
      </c>
      <c r="K12" s="29">
        <f t="shared" si="0"/>
        <v>1232</v>
      </c>
      <c r="L12" s="29">
        <f t="shared" si="0"/>
        <v>1355.2</v>
      </c>
      <c r="M12" s="29">
        <f t="shared" si="1"/>
        <v>1761.76</v>
      </c>
      <c r="N12" s="60">
        <f t="shared" si="2"/>
        <v>12888.960000000001</v>
      </c>
      <c r="O12" s="60">
        <f t="shared" si="3"/>
        <v>1074.0800000000002</v>
      </c>
      <c r="P12" s="28">
        <f t="shared" si="4"/>
        <v>800</v>
      </c>
      <c r="Q12" s="28">
        <f t="shared" si="5"/>
        <v>1761.76</v>
      </c>
      <c r="R12" s="30"/>
    </row>
    <row r="13" spans="1:18" s="5" customFormat="1" x14ac:dyDescent="0.2">
      <c r="A13" s="32" t="s">
        <v>22</v>
      </c>
      <c r="B13" s="28">
        <v>500</v>
      </c>
      <c r="C13" s="28">
        <v>510</v>
      </c>
      <c r="D13" s="28">
        <v>520</v>
      </c>
      <c r="E13" s="28">
        <v>530</v>
      </c>
      <c r="F13" s="28">
        <v>540</v>
      </c>
      <c r="G13" s="28">
        <v>550</v>
      </c>
      <c r="H13" s="28">
        <v>560</v>
      </c>
      <c r="I13" s="28">
        <v>570</v>
      </c>
      <c r="J13" s="28">
        <v>580</v>
      </c>
      <c r="K13" s="29">
        <f t="shared" si="0"/>
        <v>638</v>
      </c>
      <c r="L13" s="29">
        <f t="shared" si="0"/>
        <v>701.8</v>
      </c>
      <c r="M13" s="29">
        <f t="shared" si="1"/>
        <v>912.33999999999992</v>
      </c>
      <c r="N13" s="60">
        <f t="shared" si="2"/>
        <v>7112.14</v>
      </c>
      <c r="O13" s="60">
        <f t="shared" si="3"/>
        <v>592.6783333333334</v>
      </c>
      <c r="P13" s="28">
        <f t="shared" si="4"/>
        <v>500</v>
      </c>
      <c r="Q13" s="28">
        <f t="shared" si="5"/>
        <v>912.33999999999992</v>
      </c>
      <c r="R13" s="30"/>
    </row>
    <row r="14" spans="1:18" s="5" customFormat="1" x14ac:dyDescent="0.2">
      <c r="A14" s="33" t="s">
        <v>23</v>
      </c>
      <c r="B14" s="28">
        <v>200</v>
      </c>
      <c r="C14" s="28">
        <v>230</v>
      </c>
      <c r="D14" s="28">
        <v>260</v>
      </c>
      <c r="E14" s="28">
        <v>290</v>
      </c>
      <c r="F14" s="28">
        <v>320</v>
      </c>
      <c r="G14" s="28">
        <v>350</v>
      </c>
      <c r="H14" s="28">
        <v>380</v>
      </c>
      <c r="I14" s="28">
        <v>410</v>
      </c>
      <c r="J14" s="28">
        <v>440</v>
      </c>
      <c r="K14" s="29">
        <f t="shared" si="0"/>
        <v>484</v>
      </c>
      <c r="L14" s="29">
        <f t="shared" si="0"/>
        <v>532.4</v>
      </c>
      <c r="M14" s="29">
        <f t="shared" si="1"/>
        <v>692.12</v>
      </c>
      <c r="N14" s="60">
        <f t="shared" si="2"/>
        <v>4588.5200000000004</v>
      </c>
      <c r="O14" s="60">
        <f t="shared" si="3"/>
        <v>382.37666666666672</v>
      </c>
      <c r="P14" s="28">
        <f t="shared" si="4"/>
        <v>200</v>
      </c>
      <c r="Q14" s="28">
        <f t="shared" si="5"/>
        <v>692.12</v>
      </c>
      <c r="R14" s="30"/>
    </row>
    <row r="15" spans="1:18" s="5" customFormat="1" x14ac:dyDescent="0.2">
      <c r="A15" s="33" t="s">
        <v>24</v>
      </c>
      <c r="B15" s="28">
        <v>250</v>
      </c>
      <c r="C15" s="28">
        <v>260</v>
      </c>
      <c r="D15" s="28">
        <v>270</v>
      </c>
      <c r="E15" s="28">
        <v>280</v>
      </c>
      <c r="F15" s="28">
        <v>290</v>
      </c>
      <c r="G15" s="28">
        <v>300</v>
      </c>
      <c r="H15" s="28">
        <v>310</v>
      </c>
      <c r="I15" s="28">
        <v>320</v>
      </c>
      <c r="J15" s="28">
        <v>330</v>
      </c>
      <c r="K15" s="29">
        <f t="shared" si="0"/>
        <v>363</v>
      </c>
      <c r="L15" s="29">
        <f t="shared" si="0"/>
        <v>399.3</v>
      </c>
      <c r="M15" s="29">
        <f t="shared" si="1"/>
        <v>519.09</v>
      </c>
      <c r="N15" s="60">
        <f t="shared" si="2"/>
        <v>3891.3900000000003</v>
      </c>
      <c r="O15" s="60">
        <f t="shared" si="3"/>
        <v>324.28250000000003</v>
      </c>
      <c r="P15" s="28">
        <f t="shared" si="4"/>
        <v>250</v>
      </c>
      <c r="Q15" s="28">
        <f t="shared" si="5"/>
        <v>519.09</v>
      </c>
      <c r="R15" s="30"/>
    </row>
    <row r="16" spans="1:18" s="5" customFormat="1" x14ac:dyDescent="0.2">
      <c r="A16" s="33" t="s">
        <v>25</v>
      </c>
      <c r="B16" s="28">
        <v>150</v>
      </c>
      <c r="C16" s="28">
        <v>140</v>
      </c>
      <c r="D16" s="28">
        <v>130</v>
      </c>
      <c r="E16" s="28">
        <v>120</v>
      </c>
      <c r="F16" s="28">
        <v>110</v>
      </c>
      <c r="G16" s="28">
        <v>100</v>
      </c>
      <c r="H16" s="28">
        <v>90</v>
      </c>
      <c r="I16" s="28">
        <v>80</v>
      </c>
      <c r="J16" s="28">
        <v>100</v>
      </c>
      <c r="K16" s="29">
        <f t="shared" si="0"/>
        <v>110</v>
      </c>
      <c r="L16" s="29">
        <f t="shared" si="0"/>
        <v>121</v>
      </c>
      <c r="M16" s="29">
        <f t="shared" si="1"/>
        <v>157.30000000000001</v>
      </c>
      <c r="N16" s="60">
        <f t="shared" si="2"/>
        <v>1408.3</v>
      </c>
      <c r="O16" s="60">
        <f t="shared" si="3"/>
        <v>117.35833333333333</v>
      </c>
      <c r="P16" s="28">
        <f t="shared" si="4"/>
        <v>80</v>
      </c>
      <c r="Q16" s="28">
        <f t="shared" si="5"/>
        <v>157.30000000000001</v>
      </c>
      <c r="R16" s="30"/>
    </row>
    <row r="17" spans="1:18" s="5" customFormat="1" ht="25.5" hidden="1" x14ac:dyDescent="0.2">
      <c r="A17" s="34" t="s">
        <v>109</v>
      </c>
      <c r="B17" s="28">
        <f t="shared" ref="B17:Q17" si="6">SUM(B5:B16)</f>
        <v>4600</v>
      </c>
      <c r="C17" s="28">
        <f t="shared" si="6"/>
        <v>4860</v>
      </c>
      <c r="D17" s="28">
        <f t="shared" si="6"/>
        <v>5120</v>
      </c>
      <c r="E17" s="28">
        <f t="shared" si="6"/>
        <v>5350</v>
      </c>
      <c r="F17" s="28">
        <f t="shared" si="6"/>
        <v>5580</v>
      </c>
      <c r="G17" s="28">
        <f t="shared" si="6"/>
        <v>5760</v>
      </c>
      <c r="H17" s="28">
        <f t="shared" si="6"/>
        <v>6040</v>
      </c>
      <c r="I17" s="28">
        <f t="shared" si="6"/>
        <v>6270</v>
      </c>
      <c r="J17" s="28">
        <f t="shared" si="6"/>
        <v>6530</v>
      </c>
      <c r="K17" s="28">
        <f t="shared" si="6"/>
        <v>7183</v>
      </c>
      <c r="L17" s="28">
        <f t="shared" si="6"/>
        <v>7901.2999999999993</v>
      </c>
      <c r="M17" s="28">
        <f t="shared" si="6"/>
        <v>10271.69</v>
      </c>
      <c r="N17" s="28">
        <f t="shared" si="6"/>
        <v>75465.99000000002</v>
      </c>
      <c r="O17" s="28">
        <f t="shared" si="6"/>
        <v>6288.8325000000013</v>
      </c>
      <c r="P17" s="28">
        <f t="shared" si="6"/>
        <v>4430</v>
      </c>
      <c r="Q17" s="28">
        <f t="shared" si="6"/>
        <v>10271.69</v>
      </c>
      <c r="R17" s="30"/>
    </row>
    <row r="18" spans="1:18" s="5" customFormat="1" ht="25.5" x14ac:dyDescent="0.2">
      <c r="A18" s="35" t="s">
        <v>83</v>
      </c>
      <c r="B18" s="64">
        <v>4000</v>
      </c>
      <c r="C18" s="64">
        <v>4500</v>
      </c>
      <c r="D18" s="64">
        <v>4750</v>
      </c>
      <c r="E18" s="64">
        <v>5000</v>
      </c>
      <c r="F18" s="64">
        <v>5500</v>
      </c>
      <c r="G18" s="64">
        <v>6000</v>
      </c>
      <c r="H18" s="69">
        <v>6300</v>
      </c>
      <c r="I18" s="64">
        <v>6500</v>
      </c>
      <c r="J18" s="64">
        <v>7000</v>
      </c>
      <c r="K18" s="64">
        <f>J18+(J18*10/100)</f>
        <v>7700</v>
      </c>
      <c r="L18" s="64">
        <f>K18+(K18*10/100)</f>
        <v>8470</v>
      </c>
      <c r="M18" s="64">
        <f>L18+(L18*30/100)</f>
        <v>11011</v>
      </c>
      <c r="N18" s="36"/>
      <c r="O18" s="36"/>
      <c r="P18" s="36"/>
      <c r="Q18" s="36"/>
      <c r="R18" s="30"/>
    </row>
    <row r="19" spans="1:18" s="5" customFormat="1" ht="63" customHeight="1" x14ac:dyDescent="0.2">
      <c r="A19" s="37" t="s">
        <v>133</v>
      </c>
      <c r="B19" s="65">
        <v>10000</v>
      </c>
      <c r="C19" s="65">
        <v>11000</v>
      </c>
      <c r="D19" s="65">
        <v>13000</v>
      </c>
      <c r="E19" s="65">
        <v>14000</v>
      </c>
      <c r="F19" s="65">
        <v>15000</v>
      </c>
      <c r="G19" s="65">
        <v>16000</v>
      </c>
      <c r="H19" s="65">
        <v>16500</v>
      </c>
      <c r="I19" s="65">
        <v>17000</v>
      </c>
      <c r="J19" s="65">
        <v>18000</v>
      </c>
      <c r="K19" s="66">
        <v>20000</v>
      </c>
      <c r="L19" s="65">
        <v>22000</v>
      </c>
      <c r="M19" s="65">
        <v>28000</v>
      </c>
      <c r="N19" s="30"/>
      <c r="O19" s="30"/>
      <c r="P19" s="30"/>
      <c r="Q19" s="30"/>
      <c r="R19" s="30"/>
    </row>
    <row r="20" spans="1:18" s="5" customFormat="1" ht="78" customHeight="1" x14ac:dyDescent="0.2">
      <c r="A20" s="38" t="s">
        <v>134</v>
      </c>
      <c r="B20" s="67">
        <f>SUM(B5+B6+B7)*B25+(B8+B9+B10)*B28+(B11+B13)*B30+(B12)*B31+(B14+B15+B16)*B34</f>
        <v>12500</v>
      </c>
      <c r="C20" s="67">
        <f>SUM(C5+C6+C7)*B25+(C8+C9+C10)*B28+(C11+C13)*B30+(C12)*B31+(C14+C15+C16)*B34</f>
        <v>13240</v>
      </c>
      <c r="D20" s="67">
        <f>SUM(D5+D6+D7)*B25+(D8+D9+D10)*B28+(D11+D13)*B30+(D12)*B31+(D14+D15+D16)*B34</f>
        <v>13980</v>
      </c>
      <c r="E20" s="67">
        <f>SUM(E5+E6+E7)*B25+(E8+E9+E10)*B28+(E11+E13)*B30+(E12)*B31+(E14+E15+E16)*B34</f>
        <v>14630</v>
      </c>
      <c r="F20" s="67">
        <f>SUM(F5+F6+F7)*B25+(F8+F9+F10)*B28+(F11+F13)*B30+(F12)*B31+(F14+F15+F16)*B34</f>
        <v>15280</v>
      </c>
      <c r="G20" s="67">
        <f>SUM(G5+G6+G7)*B25+(G8+G9+G10)*B28+(G11+G13)*B30+(G12)*B31+(G14+G15+G16)*B34</f>
        <v>15842.5</v>
      </c>
      <c r="H20" s="67">
        <f>SUM(H5+H6+H7)*B25+(H8+H9+H10)*B28+(H11+H13)*B30+(H12)*B31+(H14+H15+H16)*B34</f>
        <v>16580</v>
      </c>
      <c r="I20" s="67">
        <f>SUM(I5+I6+I7)*B25+(I8+I9+I10)*B28+(I11+I13)*B30+(I12)*B31+(I14+I15+I16)*B34</f>
        <v>17230</v>
      </c>
      <c r="J20" s="67">
        <f>SUM(J5+J6+J7)*B25+(J8+J9+J10)*B28+(J11+J13)*B30+(J12)*B31+(J14+J15+J16)*B34</f>
        <v>17977.5</v>
      </c>
      <c r="K20" s="67">
        <f>SUM(K5+K6+K7)*B25+(K8+K9+K10)*B28+(K11+K13)*B30+(K12)*B31+(K14+K15+K16)*B34</f>
        <v>19775.25</v>
      </c>
      <c r="L20" s="67">
        <f>SUM(L5+L6+L7)*B25+(L8+L9+L10)*B28+(L11+L13)*B30+(L12)*B31+(L14+L15+L16)*B34</f>
        <v>21752.775000000001</v>
      </c>
      <c r="M20" s="67">
        <f>SUM(M5+M6+M7)*B25+(M8+M9+M10)*B28+(M11+M13)*B30+(M12)*B31+(M14+M15+M16)*B34</f>
        <v>28278.607499999998</v>
      </c>
      <c r="N20" s="58"/>
      <c r="O20" s="58"/>
      <c r="P20" s="58"/>
      <c r="Q20" s="30"/>
      <c r="R20" s="30"/>
    </row>
    <row r="21" spans="1:18" s="19" customFormat="1" ht="79.5" customHeight="1" x14ac:dyDescent="0.2">
      <c r="A21" s="39" t="s">
        <v>135</v>
      </c>
      <c r="B21" s="68" t="str">
        <f>IF(B20&gt;B19,"Above",IF(B20=B19,"On","Below"))</f>
        <v>Above</v>
      </c>
      <c r="C21" s="68" t="str">
        <f t="shared" ref="C21:M21" si="7">IF(C20&gt;C19,"Above",IF(C20=C19,"On","Below"))</f>
        <v>Above</v>
      </c>
      <c r="D21" s="68" t="str">
        <f t="shared" si="7"/>
        <v>Above</v>
      </c>
      <c r="E21" s="68" t="str">
        <f t="shared" si="7"/>
        <v>Above</v>
      </c>
      <c r="F21" s="68" t="str">
        <f t="shared" si="7"/>
        <v>Above</v>
      </c>
      <c r="G21" s="68" t="str">
        <f t="shared" si="7"/>
        <v>Below</v>
      </c>
      <c r="H21" s="68" t="str">
        <f t="shared" si="7"/>
        <v>Above</v>
      </c>
      <c r="I21" s="68" t="str">
        <f t="shared" si="7"/>
        <v>Above</v>
      </c>
      <c r="J21" s="68" t="str">
        <f>IF(J20&gt;J19,"Above",IF(J20=J19,"On","Below"))</f>
        <v>Below</v>
      </c>
      <c r="K21" s="68" t="str">
        <f t="shared" si="7"/>
        <v>Below</v>
      </c>
      <c r="L21" s="75" t="str">
        <f t="shared" si="7"/>
        <v>Below</v>
      </c>
      <c r="M21" s="68" t="str">
        <f t="shared" si="7"/>
        <v>Above</v>
      </c>
      <c r="N21" s="61"/>
      <c r="O21" s="61"/>
      <c r="P21" s="62"/>
      <c r="Q21" s="40"/>
      <c r="R21" s="40"/>
    </row>
    <row r="22" spans="1:18" s="5" customFormat="1" x14ac:dyDescent="0.2">
      <c r="A22" s="30"/>
      <c r="B22" s="30"/>
      <c r="C22" s="30"/>
      <c r="D22" s="30"/>
      <c r="E22" s="30"/>
      <c r="F22" s="30"/>
      <c r="G22" s="30"/>
      <c r="H22" s="30"/>
      <c r="I22" s="30"/>
      <c r="J22" s="30"/>
      <c r="K22" s="30"/>
      <c r="L22" s="30"/>
      <c r="M22" s="30"/>
      <c r="N22" s="30"/>
      <c r="O22" s="30"/>
      <c r="P22" s="30"/>
      <c r="Q22" s="30"/>
      <c r="R22" s="58"/>
    </row>
    <row r="23" spans="1:18" s="5" customFormat="1" ht="25.5" x14ac:dyDescent="0.2">
      <c r="A23" s="41" t="s">
        <v>106</v>
      </c>
      <c r="B23" s="41" t="s">
        <v>40</v>
      </c>
      <c r="C23" s="41" t="s">
        <v>26</v>
      </c>
      <c r="D23" s="42"/>
      <c r="E23" s="42"/>
      <c r="F23" s="30"/>
      <c r="G23" s="30"/>
      <c r="H23" s="30"/>
      <c r="I23" s="30"/>
      <c r="J23" s="30"/>
      <c r="K23" s="30"/>
      <c r="L23" s="30"/>
      <c r="M23" s="30"/>
      <c r="N23" s="30"/>
      <c r="O23" s="30"/>
      <c r="P23" s="30"/>
      <c r="Q23" s="30"/>
      <c r="R23" s="58"/>
    </row>
    <row r="24" spans="1:18" s="5" customFormat="1" x14ac:dyDescent="0.2">
      <c r="A24" s="27" t="s">
        <v>14</v>
      </c>
      <c r="B24" s="59">
        <v>3</v>
      </c>
      <c r="C24" s="28">
        <v>10</v>
      </c>
      <c r="D24" s="30"/>
      <c r="E24" s="30"/>
      <c r="F24" s="30"/>
      <c r="G24" s="30"/>
      <c r="H24" s="30"/>
      <c r="I24" s="30"/>
      <c r="J24" s="30"/>
      <c r="K24" s="30"/>
      <c r="L24" s="30"/>
      <c r="M24" s="30"/>
      <c r="N24" s="30"/>
      <c r="O24" s="30"/>
      <c r="P24" s="30"/>
      <c r="Q24" s="30"/>
      <c r="R24" s="58"/>
    </row>
    <row r="25" spans="1:18" s="5" customFormat="1" ht="12.75" customHeight="1" x14ac:dyDescent="0.2">
      <c r="A25" s="27" t="s">
        <v>16</v>
      </c>
      <c r="B25" s="59">
        <v>3</v>
      </c>
      <c r="C25" s="28">
        <v>10</v>
      </c>
      <c r="D25" s="30"/>
      <c r="E25" s="30"/>
      <c r="F25" s="30"/>
      <c r="G25" s="30"/>
      <c r="H25" s="30"/>
      <c r="I25" s="30"/>
      <c r="J25" s="30"/>
      <c r="K25" s="30"/>
      <c r="L25" s="30"/>
      <c r="M25" s="30"/>
      <c r="N25" s="30"/>
      <c r="O25" s="30"/>
      <c r="P25" s="30"/>
      <c r="Q25" s="30"/>
      <c r="R25" s="58"/>
    </row>
    <row r="26" spans="1:18" s="5" customFormat="1" ht="18.75" customHeight="1" x14ac:dyDescent="0.2">
      <c r="A26" s="27" t="s">
        <v>17</v>
      </c>
      <c r="B26" s="59">
        <v>3</v>
      </c>
      <c r="C26" s="28">
        <v>10</v>
      </c>
      <c r="D26" s="30"/>
      <c r="E26" s="30"/>
      <c r="F26" s="30"/>
      <c r="G26" s="30"/>
      <c r="H26" s="30"/>
      <c r="I26" s="30"/>
      <c r="J26" s="30"/>
      <c r="K26" s="30"/>
      <c r="L26" s="30"/>
      <c r="M26" s="30"/>
      <c r="N26" s="30"/>
      <c r="O26" s="30"/>
      <c r="P26" s="30"/>
      <c r="Q26" s="30"/>
      <c r="R26" s="58"/>
    </row>
    <row r="27" spans="1:18" s="5" customFormat="1" ht="17.25" customHeight="1" x14ac:dyDescent="0.2">
      <c r="A27" s="31" t="s">
        <v>15</v>
      </c>
      <c r="B27" s="59">
        <v>2.75</v>
      </c>
      <c r="C27" s="28">
        <v>10</v>
      </c>
      <c r="D27" s="30"/>
      <c r="E27" s="30"/>
      <c r="F27" s="30"/>
      <c r="G27" s="30"/>
      <c r="H27" s="30"/>
      <c r="I27" s="30"/>
      <c r="J27" s="30"/>
      <c r="K27" s="30"/>
      <c r="L27" s="30"/>
      <c r="M27" s="30"/>
      <c r="N27" s="30"/>
      <c r="O27" s="30"/>
      <c r="P27" s="30"/>
      <c r="Q27" s="30"/>
      <c r="R27" s="58"/>
    </row>
    <row r="28" spans="1:18" s="5" customFormat="1" ht="18" customHeight="1" x14ac:dyDescent="0.2">
      <c r="A28" s="31" t="s">
        <v>18</v>
      </c>
      <c r="B28" s="59">
        <v>2.75</v>
      </c>
      <c r="C28" s="28">
        <v>10</v>
      </c>
      <c r="D28" s="30"/>
      <c r="E28" s="30"/>
      <c r="F28" s="30"/>
      <c r="G28" s="30"/>
      <c r="H28" s="30"/>
      <c r="I28" s="30"/>
      <c r="J28" s="30"/>
      <c r="K28" s="30"/>
      <c r="L28" s="30"/>
      <c r="M28" s="30"/>
      <c r="N28" s="30"/>
      <c r="O28" s="30"/>
      <c r="P28" s="30"/>
      <c r="Q28" s="30"/>
      <c r="R28" s="58"/>
    </row>
    <row r="29" spans="1:18" s="5" customFormat="1" ht="17.25" customHeight="1" x14ac:dyDescent="0.2">
      <c r="A29" s="31" t="s">
        <v>19</v>
      </c>
      <c r="B29" s="59">
        <v>2.75</v>
      </c>
      <c r="C29" s="28">
        <v>20</v>
      </c>
      <c r="D29" s="30"/>
      <c r="E29" s="30"/>
      <c r="F29" s="30"/>
      <c r="G29" s="30"/>
      <c r="H29" s="30"/>
      <c r="I29" s="30"/>
      <c r="J29" s="30"/>
      <c r="K29" s="30"/>
      <c r="L29" s="30"/>
      <c r="M29" s="30"/>
      <c r="N29" s="30"/>
      <c r="O29" s="30"/>
      <c r="P29" s="30"/>
      <c r="Q29" s="30"/>
      <c r="R29" s="58"/>
    </row>
    <row r="30" spans="1:18" s="5" customFormat="1" x14ac:dyDescent="0.2">
      <c r="A30" s="32" t="s">
        <v>20</v>
      </c>
      <c r="B30" s="59">
        <v>2.5</v>
      </c>
      <c r="C30" s="28">
        <v>20</v>
      </c>
      <c r="D30" s="30"/>
      <c r="E30" s="30"/>
      <c r="F30" s="30"/>
      <c r="G30" s="30"/>
      <c r="H30" s="30"/>
      <c r="I30" s="30"/>
      <c r="J30" s="30"/>
      <c r="K30" s="30"/>
      <c r="L30" s="30"/>
      <c r="M30" s="30"/>
      <c r="N30" s="30"/>
      <c r="O30" s="30"/>
      <c r="P30" s="30"/>
      <c r="Q30" s="30"/>
      <c r="R30" s="58"/>
    </row>
    <row r="31" spans="1:18" s="5" customFormat="1" x14ac:dyDescent="0.2">
      <c r="A31" s="32" t="s">
        <v>21</v>
      </c>
      <c r="B31" s="59">
        <v>2.25</v>
      </c>
      <c r="C31" s="28">
        <v>40</v>
      </c>
      <c r="D31" s="30"/>
      <c r="E31" s="30"/>
      <c r="F31" s="30"/>
      <c r="G31" s="30"/>
      <c r="H31" s="30"/>
      <c r="I31" s="30"/>
      <c r="J31" s="30"/>
      <c r="K31" s="30"/>
      <c r="L31" s="30"/>
      <c r="M31" s="30"/>
      <c r="N31" s="30"/>
      <c r="O31" s="30"/>
      <c r="P31" s="30"/>
      <c r="Q31" s="30"/>
      <c r="R31" s="58"/>
    </row>
    <row r="32" spans="1:18" s="5" customFormat="1" x14ac:dyDescent="0.2">
      <c r="A32" s="32" t="s">
        <v>22</v>
      </c>
      <c r="B32" s="59">
        <v>2.5</v>
      </c>
      <c r="C32" s="28">
        <v>20</v>
      </c>
      <c r="D32" s="30"/>
      <c r="E32" s="30"/>
      <c r="F32" s="30"/>
      <c r="G32" s="30"/>
      <c r="H32" s="30"/>
      <c r="I32" s="30"/>
      <c r="J32" s="30"/>
      <c r="K32" s="30"/>
      <c r="L32" s="30"/>
      <c r="M32" s="30"/>
      <c r="N32" s="30"/>
      <c r="O32" s="30"/>
      <c r="P32" s="30"/>
      <c r="Q32" s="30"/>
      <c r="R32" s="58"/>
    </row>
    <row r="33" spans="1:19" s="5" customFormat="1" x14ac:dyDescent="0.2">
      <c r="A33" s="33" t="s">
        <v>23</v>
      </c>
      <c r="B33" s="59">
        <v>3.25</v>
      </c>
      <c r="C33" s="28">
        <v>10</v>
      </c>
      <c r="D33" s="30"/>
      <c r="E33" s="30"/>
      <c r="F33" s="30"/>
      <c r="G33" s="30"/>
      <c r="H33" s="30"/>
      <c r="I33" s="30"/>
      <c r="J33" s="30"/>
      <c r="K33" s="30"/>
      <c r="L33" s="30"/>
      <c r="M33" s="30"/>
      <c r="N33" s="30"/>
      <c r="O33" s="30"/>
      <c r="P33" s="30"/>
      <c r="Q33" s="30"/>
      <c r="R33" s="58"/>
    </row>
    <row r="34" spans="1:19" s="3" customFormat="1" x14ac:dyDescent="0.2">
      <c r="A34" s="33" t="s">
        <v>24</v>
      </c>
      <c r="B34" s="59">
        <v>3.25</v>
      </c>
      <c r="C34" s="28">
        <v>10</v>
      </c>
      <c r="D34" s="30"/>
      <c r="E34" s="30"/>
      <c r="F34" s="30"/>
      <c r="G34" s="30"/>
      <c r="H34" s="30"/>
      <c r="I34" s="30"/>
      <c r="J34" s="30"/>
      <c r="K34" s="30"/>
      <c r="L34" s="30"/>
      <c r="M34" s="30"/>
      <c r="N34" s="30"/>
      <c r="O34" s="30"/>
      <c r="P34" s="30"/>
      <c r="Q34" s="30"/>
      <c r="R34" s="58"/>
      <c r="S34" s="5"/>
    </row>
    <row r="35" spans="1:19" s="5" customFormat="1" x14ac:dyDescent="0.2">
      <c r="A35" s="33" t="s">
        <v>25</v>
      </c>
      <c r="B35" s="59">
        <v>3.25</v>
      </c>
      <c r="C35" s="28">
        <v>10</v>
      </c>
      <c r="D35" s="30"/>
      <c r="E35" s="30"/>
      <c r="F35" s="30"/>
      <c r="G35" s="30"/>
      <c r="H35" s="30"/>
      <c r="I35" s="30"/>
      <c r="J35" s="30"/>
      <c r="K35" s="30"/>
      <c r="L35" s="30"/>
      <c r="M35" s="30"/>
      <c r="N35" s="30"/>
      <c r="O35" s="30"/>
      <c r="P35" s="30"/>
      <c r="Q35" s="30"/>
      <c r="R35" s="58"/>
    </row>
    <row r="36" spans="1:19" s="5" customFormat="1" x14ac:dyDescent="0.2">
      <c r="A36" s="44"/>
      <c r="B36" s="45"/>
      <c r="C36" s="46"/>
      <c r="D36" s="30"/>
      <c r="E36" s="30"/>
      <c r="F36" s="30"/>
      <c r="G36" s="30"/>
      <c r="H36" s="30"/>
      <c r="I36" s="30"/>
      <c r="J36" s="30"/>
      <c r="K36" s="30"/>
      <c r="L36" s="30"/>
      <c r="M36" s="30"/>
      <c r="N36" s="30"/>
      <c r="O36" s="30"/>
      <c r="P36" s="30"/>
      <c r="Q36" s="30"/>
      <c r="R36" s="58"/>
    </row>
    <row r="37" spans="1:19" s="5" customFormat="1" x14ac:dyDescent="0.2">
      <c r="A37" s="44"/>
      <c r="B37" s="45"/>
      <c r="C37" s="46"/>
      <c r="D37" s="30"/>
      <c r="E37" s="30"/>
      <c r="F37" s="30"/>
      <c r="G37" s="30"/>
      <c r="H37" s="30"/>
      <c r="I37" s="30"/>
      <c r="J37" s="30"/>
      <c r="K37" s="30"/>
      <c r="L37" s="30"/>
      <c r="M37" s="30"/>
      <c r="N37" s="30"/>
      <c r="O37" s="30"/>
      <c r="P37" s="30"/>
      <c r="Q37" s="30"/>
      <c r="R37" s="58"/>
    </row>
    <row r="38" spans="1:19" s="5" customFormat="1" ht="12.75" customHeight="1" x14ac:dyDescent="0.2">
      <c r="A38" s="47" t="s">
        <v>29</v>
      </c>
      <c r="B38" s="118" t="s">
        <v>96</v>
      </c>
      <c r="C38" s="119"/>
      <c r="D38" s="120"/>
      <c r="E38" s="30"/>
      <c r="F38" s="30"/>
      <c r="G38" s="30"/>
      <c r="H38" s="30"/>
      <c r="I38" s="30"/>
      <c r="J38" s="30"/>
      <c r="K38" s="30"/>
      <c r="L38" s="30"/>
      <c r="M38" s="30"/>
      <c r="N38" s="30"/>
      <c r="O38" s="30"/>
      <c r="P38" s="30"/>
      <c r="Q38" s="30"/>
      <c r="R38" s="30"/>
    </row>
    <row r="39" spans="1:19" s="5" customFormat="1" ht="25.5" x14ac:dyDescent="0.2">
      <c r="A39" s="48" t="s">
        <v>35</v>
      </c>
      <c r="B39" s="48" t="s">
        <v>34</v>
      </c>
      <c r="C39" s="48" t="s">
        <v>92</v>
      </c>
      <c r="D39" s="48" t="s">
        <v>39</v>
      </c>
      <c r="E39" s="48" t="s">
        <v>95</v>
      </c>
      <c r="F39" s="48" t="s">
        <v>85</v>
      </c>
      <c r="G39" s="48" t="s">
        <v>93</v>
      </c>
      <c r="H39" s="48" t="s">
        <v>94</v>
      </c>
      <c r="I39" s="26"/>
      <c r="J39" s="49" t="s">
        <v>98</v>
      </c>
      <c r="K39" s="49" t="s">
        <v>86</v>
      </c>
      <c r="L39" s="26"/>
      <c r="M39" s="50" t="s">
        <v>100</v>
      </c>
      <c r="N39" s="50" t="s">
        <v>99</v>
      </c>
      <c r="O39" s="30"/>
      <c r="P39" s="30"/>
      <c r="Q39" s="30"/>
      <c r="R39" s="30"/>
    </row>
    <row r="40" spans="1:19" s="5" customFormat="1" ht="38.25" x14ac:dyDescent="0.2">
      <c r="A40" s="51" t="s">
        <v>97</v>
      </c>
      <c r="B40" s="51" t="s">
        <v>110</v>
      </c>
      <c r="C40" s="51" t="s">
        <v>111</v>
      </c>
      <c r="D40" s="51" t="s">
        <v>118</v>
      </c>
      <c r="E40" s="51" t="s">
        <v>115</v>
      </c>
      <c r="F40" s="51" t="s">
        <v>91</v>
      </c>
      <c r="G40" s="52" t="s">
        <v>121</v>
      </c>
      <c r="H40" s="51" t="s">
        <v>108</v>
      </c>
      <c r="I40" s="53"/>
      <c r="J40" s="54" t="s">
        <v>104</v>
      </c>
      <c r="K40" s="52" t="s">
        <v>87</v>
      </c>
      <c r="L40" s="53"/>
      <c r="M40" s="51" t="s">
        <v>101</v>
      </c>
      <c r="N40" s="55">
        <v>0</v>
      </c>
      <c r="O40" s="30"/>
      <c r="P40" s="30"/>
      <c r="Q40" s="30"/>
      <c r="R40" s="30"/>
    </row>
    <row r="41" spans="1:19" s="5" customFormat="1" ht="25.5" x14ac:dyDescent="0.2">
      <c r="A41" s="51" t="s">
        <v>147</v>
      </c>
      <c r="B41" s="51" t="s">
        <v>113</v>
      </c>
      <c r="C41" s="51" t="s">
        <v>111</v>
      </c>
      <c r="D41" s="51" t="s">
        <v>119</v>
      </c>
      <c r="E41" s="51" t="s">
        <v>116</v>
      </c>
      <c r="F41" s="51" t="s">
        <v>126</v>
      </c>
      <c r="G41" s="52" t="s">
        <v>122</v>
      </c>
      <c r="H41" s="51" t="s">
        <v>124</v>
      </c>
      <c r="I41" s="53"/>
      <c r="J41" s="54" t="s">
        <v>84</v>
      </c>
      <c r="K41" s="52" t="s">
        <v>88</v>
      </c>
      <c r="L41" s="56"/>
      <c r="M41" s="52" t="s">
        <v>102</v>
      </c>
      <c r="N41" s="43">
        <v>5.5</v>
      </c>
      <c r="O41" s="30"/>
      <c r="P41" s="30"/>
      <c r="Q41" s="30"/>
      <c r="R41" s="30"/>
    </row>
    <row r="42" spans="1:19" s="5" customFormat="1" ht="63.75" x14ac:dyDescent="0.2">
      <c r="A42" s="51" t="s">
        <v>112</v>
      </c>
      <c r="B42" s="51" t="s">
        <v>114</v>
      </c>
      <c r="C42" s="51" t="s">
        <v>111</v>
      </c>
      <c r="D42" s="51" t="s">
        <v>120</v>
      </c>
      <c r="E42" s="51" t="s">
        <v>117</v>
      </c>
      <c r="F42" s="51" t="s">
        <v>127</v>
      </c>
      <c r="G42" s="52" t="s">
        <v>123</v>
      </c>
      <c r="H42" s="51" t="s">
        <v>125</v>
      </c>
      <c r="I42" s="53"/>
      <c r="J42" s="54" t="s">
        <v>89</v>
      </c>
      <c r="K42" s="52" t="s">
        <v>90</v>
      </c>
      <c r="L42" s="56"/>
      <c r="M42" s="51" t="s">
        <v>103</v>
      </c>
      <c r="N42" s="57">
        <v>10</v>
      </c>
      <c r="O42" s="30"/>
      <c r="P42" s="30"/>
      <c r="Q42" s="30"/>
      <c r="R42" s="30"/>
    </row>
    <row r="43" spans="1:19" s="5" customFormat="1" x14ac:dyDescent="0.2"/>
    <row r="44" spans="1:19" s="5" customFormat="1" ht="29.25" customHeight="1" x14ac:dyDescent="0.2"/>
    <row r="45" spans="1:19" s="5" customFormat="1" x14ac:dyDescent="0.2"/>
    <row r="46" spans="1:19" s="5" customFormat="1" x14ac:dyDescent="0.2">
      <c r="A46" s="18" t="s">
        <v>30</v>
      </c>
    </row>
    <row r="47" spans="1:19" s="5" customFormat="1" ht="51" x14ac:dyDescent="0.2">
      <c r="A47" s="10" t="s">
        <v>36</v>
      </c>
      <c r="B47" s="10" t="s">
        <v>37</v>
      </c>
      <c r="C47" s="10" t="s">
        <v>31</v>
      </c>
      <c r="D47" s="10" t="s">
        <v>69</v>
      </c>
      <c r="E47" s="10" t="s">
        <v>32</v>
      </c>
      <c r="F47" s="10" t="s">
        <v>33</v>
      </c>
      <c r="G47" s="10" t="s">
        <v>44</v>
      </c>
      <c r="H47" s="10" t="s">
        <v>82</v>
      </c>
      <c r="I47" s="10" t="s">
        <v>38</v>
      </c>
      <c r="J47" s="11" t="s">
        <v>62</v>
      </c>
      <c r="K47" s="11" t="s">
        <v>41</v>
      </c>
      <c r="L47" s="11" t="s">
        <v>80</v>
      </c>
      <c r="M47" s="11" t="s">
        <v>70</v>
      </c>
      <c r="N47" s="11" t="s">
        <v>71</v>
      </c>
      <c r="O47" s="3"/>
      <c r="P47" s="16"/>
      <c r="Q47" s="3"/>
      <c r="R47" s="63" t="s">
        <v>105</v>
      </c>
      <c r="S47" s="3"/>
    </row>
    <row r="48" spans="1:19" s="5" customFormat="1" ht="25.5" x14ac:dyDescent="0.2">
      <c r="A48" s="13" t="s">
        <v>46</v>
      </c>
      <c r="B48" s="13" t="s">
        <v>47</v>
      </c>
      <c r="C48" s="12">
        <v>31573</v>
      </c>
      <c r="D48" s="4">
        <f ca="1">INT((TODAY()-C48)/365)</f>
        <v>33</v>
      </c>
      <c r="E48" s="13" t="s">
        <v>67</v>
      </c>
      <c r="F48" s="15" t="s">
        <v>79</v>
      </c>
      <c r="G48" s="13" t="s">
        <v>59</v>
      </c>
      <c r="H48" s="13" t="s">
        <v>60</v>
      </c>
      <c r="I48" s="9" t="s">
        <v>76</v>
      </c>
      <c r="J48" s="13">
        <v>2</v>
      </c>
      <c r="K48" s="13" t="s">
        <v>43</v>
      </c>
      <c r="L48" s="13" t="s">
        <v>52</v>
      </c>
      <c r="M48" s="13">
        <v>18</v>
      </c>
      <c r="N48" s="6">
        <f>M48*C57</f>
        <v>104.39999999999999</v>
      </c>
      <c r="R48" s="14">
        <f t="shared" ref="R48:R54" ca="1" si="8">(TODAY()-C48)/365</f>
        <v>33.791780821917811</v>
      </c>
    </row>
    <row r="49" spans="1:18" s="5" customFormat="1" ht="25.5" x14ac:dyDescent="0.2">
      <c r="A49" s="13" t="s">
        <v>48</v>
      </c>
      <c r="B49" s="13" t="s">
        <v>49</v>
      </c>
      <c r="C49" s="12">
        <v>33965</v>
      </c>
      <c r="D49" s="4">
        <f t="shared" ref="D49:D54" ca="1" si="9">INT((TODAY()-C49)/365.25)</f>
        <v>27</v>
      </c>
      <c r="E49" s="13" t="s">
        <v>68</v>
      </c>
      <c r="F49" s="15" t="s">
        <v>79</v>
      </c>
      <c r="G49" s="13" t="s">
        <v>54</v>
      </c>
      <c r="H49" s="13" t="s">
        <v>60</v>
      </c>
      <c r="I49" s="9" t="s">
        <v>72</v>
      </c>
      <c r="J49" s="13">
        <v>3.5</v>
      </c>
      <c r="K49" s="13" t="s">
        <v>42</v>
      </c>
      <c r="L49" s="13" t="s">
        <v>52</v>
      </c>
      <c r="M49" s="13">
        <v>42</v>
      </c>
      <c r="N49" s="6">
        <f>(40*C58)+2*(C58+C58/2)</f>
        <v>207.69</v>
      </c>
      <c r="R49" s="14">
        <f t="shared" ca="1" si="8"/>
        <v>27.238356164383561</v>
      </c>
    </row>
    <row r="50" spans="1:18" s="5" customFormat="1" ht="25.5" x14ac:dyDescent="0.2">
      <c r="A50" s="13" t="s">
        <v>50</v>
      </c>
      <c r="B50" s="13" t="s">
        <v>51</v>
      </c>
      <c r="C50" s="12">
        <v>33526</v>
      </c>
      <c r="D50" s="4">
        <f t="shared" ca="1" si="9"/>
        <v>28</v>
      </c>
      <c r="E50" s="13" t="s">
        <v>68</v>
      </c>
      <c r="F50" s="15" t="s">
        <v>79</v>
      </c>
      <c r="G50" s="13" t="s">
        <v>56</v>
      </c>
      <c r="H50" s="13" t="s">
        <v>61</v>
      </c>
      <c r="I50" s="9" t="s">
        <v>74</v>
      </c>
      <c r="J50" s="13">
        <v>1</v>
      </c>
      <c r="K50" s="13" t="s">
        <v>42</v>
      </c>
      <c r="L50" s="13" t="s">
        <v>52</v>
      </c>
      <c r="M50" s="13">
        <v>37</v>
      </c>
      <c r="N50" s="6">
        <f>M50*C58</f>
        <v>178.71</v>
      </c>
      <c r="R50" s="14">
        <f t="shared" ca="1" si="8"/>
        <v>28.44109589041096</v>
      </c>
    </row>
    <row r="51" spans="1:18" s="5" customFormat="1" ht="25.5" x14ac:dyDescent="0.2">
      <c r="A51" s="13" t="s">
        <v>130</v>
      </c>
      <c r="B51" s="13" t="s">
        <v>129</v>
      </c>
      <c r="C51" s="12">
        <v>32051</v>
      </c>
      <c r="D51" s="4">
        <f t="shared" ca="1" si="9"/>
        <v>32</v>
      </c>
      <c r="E51" s="13" t="s">
        <v>68</v>
      </c>
      <c r="F51" s="15" t="s">
        <v>79</v>
      </c>
      <c r="G51" s="13" t="s">
        <v>55</v>
      </c>
      <c r="H51" s="13" t="s">
        <v>61</v>
      </c>
      <c r="I51" s="9" t="s">
        <v>73</v>
      </c>
      <c r="J51" s="13">
        <v>4.5</v>
      </c>
      <c r="K51" s="13" t="s">
        <v>43</v>
      </c>
      <c r="L51" s="13" t="s">
        <v>53</v>
      </c>
      <c r="M51" s="13">
        <v>12</v>
      </c>
      <c r="N51" s="6">
        <f>M51*C57</f>
        <v>69.599999999999994</v>
      </c>
      <c r="R51" s="14">
        <f t="shared" ca="1" si="8"/>
        <v>32.482191780821921</v>
      </c>
    </row>
    <row r="52" spans="1:18" s="5" customFormat="1" ht="25.5" x14ac:dyDescent="0.2">
      <c r="A52" s="13" t="s">
        <v>131</v>
      </c>
      <c r="B52" s="13" t="s">
        <v>132</v>
      </c>
      <c r="C52" s="12">
        <v>30747</v>
      </c>
      <c r="D52" s="4">
        <f t="shared" ca="1" si="9"/>
        <v>36</v>
      </c>
      <c r="E52" s="13" t="s">
        <v>68</v>
      </c>
      <c r="F52" s="15" t="s">
        <v>79</v>
      </c>
      <c r="G52" s="13" t="s">
        <v>57</v>
      </c>
      <c r="H52" s="13" t="s">
        <v>60</v>
      </c>
      <c r="I52" s="9" t="s">
        <v>77</v>
      </c>
      <c r="J52" s="13">
        <v>3</v>
      </c>
      <c r="K52" s="13" t="s">
        <v>43</v>
      </c>
      <c r="L52" s="13" t="s">
        <v>53</v>
      </c>
      <c r="M52" s="13">
        <v>15</v>
      </c>
      <c r="N52" s="6">
        <f>M52*C57</f>
        <v>87</v>
      </c>
      <c r="R52" s="14">
        <f t="shared" ca="1" si="8"/>
        <v>36.054794520547944</v>
      </c>
    </row>
    <row r="53" spans="1:18" s="5" customFormat="1" ht="25.5" x14ac:dyDescent="0.2">
      <c r="A53" s="13" t="s">
        <v>200</v>
      </c>
      <c r="B53" s="13" t="s">
        <v>201</v>
      </c>
      <c r="C53" s="12">
        <v>29681</v>
      </c>
      <c r="D53" s="4">
        <f t="shared" ca="1" si="9"/>
        <v>38</v>
      </c>
      <c r="E53" s="13" t="s">
        <v>67</v>
      </c>
      <c r="F53" s="15" t="s">
        <v>79</v>
      </c>
      <c r="G53" s="13" t="s">
        <v>58</v>
      </c>
      <c r="H53" s="13" t="s">
        <v>60</v>
      </c>
      <c r="I53" s="9" t="s">
        <v>78</v>
      </c>
      <c r="J53" s="13">
        <v>1.5</v>
      </c>
      <c r="K53" s="13" t="s">
        <v>43</v>
      </c>
      <c r="L53" s="13" t="s">
        <v>53</v>
      </c>
      <c r="M53" s="13">
        <v>15</v>
      </c>
      <c r="N53" s="6">
        <f>M53*C57</f>
        <v>87</v>
      </c>
      <c r="R53" s="14">
        <f t="shared" ca="1" si="8"/>
        <v>38.975342465753428</v>
      </c>
    </row>
    <row r="54" spans="1:18" s="5" customFormat="1" ht="25.5" x14ac:dyDescent="0.2">
      <c r="A54" s="13" t="s">
        <v>198</v>
      </c>
      <c r="B54" s="13" t="s">
        <v>199</v>
      </c>
      <c r="C54" s="12">
        <v>33539</v>
      </c>
      <c r="D54" s="4">
        <f t="shared" ca="1" si="9"/>
        <v>28</v>
      </c>
      <c r="E54" s="13" t="s">
        <v>68</v>
      </c>
      <c r="F54" s="15" t="s">
        <v>79</v>
      </c>
      <c r="G54" s="13" t="s">
        <v>45</v>
      </c>
      <c r="H54" s="13" t="s">
        <v>61</v>
      </c>
      <c r="I54" s="9" t="s">
        <v>75</v>
      </c>
      <c r="J54" s="13">
        <v>0</v>
      </c>
      <c r="K54" s="13" t="s">
        <v>42</v>
      </c>
      <c r="L54" s="13" t="s">
        <v>52</v>
      </c>
      <c r="M54" s="13">
        <v>50</v>
      </c>
      <c r="N54" s="6">
        <f>(40*C58)+10*(C58+C58/2)</f>
        <v>265.64999999999998</v>
      </c>
      <c r="R54" s="13">
        <f t="shared" ca="1" si="8"/>
        <v>28.405479452054795</v>
      </c>
    </row>
    <row r="55" spans="1:18" s="5" customFormat="1" x14ac:dyDescent="0.2"/>
    <row r="56" spans="1:18" s="5" customFormat="1" ht="12.75" customHeight="1" x14ac:dyDescent="0.2">
      <c r="C56" s="110" t="s">
        <v>65</v>
      </c>
      <c r="D56" s="111"/>
      <c r="F56" s="112" t="s">
        <v>81</v>
      </c>
      <c r="G56" s="113"/>
      <c r="H56" s="114"/>
      <c r="M56" s="112" t="s">
        <v>66</v>
      </c>
      <c r="N56" s="114"/>
      <c r="O56" s="17"/>
    </row>
    <row r="57" spans="1:18" s="5" customFormat="1" x14ac:dyDescent="0.2">
      <c r="C57" s="7">
        <v>5.8</v>
      </c>
      <c r="D57" s="8">
        <v>22</v>
      </c>
    </row>
    <row r="58" spans="1:18" s="5" customFormat="1" x14ac:dyDescent="0.2">
      <c r="C58" s="7">
        <v>4.83</v>
      </c>
      <c r="D58" s="8" t="s">
        <v>63</v>
      </c>
    </row>
    <row r="59" spans="1:18" s="5" customFormat="1" x14ac:dyDescent="0.2">
      <c r="C59" s="7">
        <v>3.57</v>
      </c>
      <c r="D59" s="8" t="s">
        <v>64</v>
      </c>
    </row>
    <row r="60" spans="1:18" s="5" customFormat="1" x14ac:dyDescent="0.2"/>
    <row r="61" spans="1:18" s="5" customFormat="1" x14ac:dyDescent="0.2"/>
    <row r="62" spans="1:18" s="5" customFormat="1" x14ac:dyDescent="0.2"/>
    <row r="63" spans="1:18" s="5" customFormat="1" x14ac:dyDescent="0.2"/>
    <row r="64" spans="1:18"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row r="72" s="5" customFormat="1" x14ac:dyDescent="0.2"/>
    <row r="73" s="5" customFormat="1" x14ac:dyDescent="0.2"/>
    <row r="74" s="5" customFormat="1" x14ac:dyDescent="0.2"/>
    <row r="75" s="5" customFormat="1" x14ac:dyDescent="0.2"/>
    <row r="76" s="5" customFormat="1" x14ac:dyDescent="0.2"/>
    <row r="77" s="5" customFormat="1" x14ac:dyDescent="0.2"/>
    <row r="78" s="5" customFormat="1" x14ac:dyDescent="0.2"/>
    <row r="79" s="5" customFormat="1" x14ac:dyDescent="0.2"/>
    <row r="80" s="5" customFormat="1" x14ac:dyDescent="0.2"/>
  </sheetData>
  <mergeCells count="6">
    <mergeCell ref="C56:D56"/>
    <mergeCell ref="F56:H56"/>
    <mergeCell ref="M56:N56"/>
    <mergeCell ref="G1:K1"/>
    <mergeCell ref="K3:N3"/>
    <mergeCell ref="B38:D38"/>
  </mergeCells>
  <dataValidations count="1">
    <dataValidation type="list" allowBlank="1" showInputMessage="1" showErrorMessage="1" sqref="C24:C34">
      <formula1>$C$24:$C$35</formula1>
    </dataValidation>
  </dataValidations>
  <pageMargins left="0.31496062992125984" right="0.19685039370078741" top="0.59055118110236227" bottom="0.6692913385826772" header="0.31496062992125984" footer="0.31496062992125984"/>
  <pageSetup paperSize="9" scale="57" fitToHeight="2" orientation="landscape" horizontalDpi="4294967294" r:id="rId1"/>
  <headerFooter>
    <oddHeader>&amp;CBTEC 1st IT for Practititioners
Assessment - Spreadsheets</oddHeader>
    <oddFooter>&amp;LDan Gurr
&amp;D&amp;CPage &amp;P of &amp;N&amp;R&amp;F
&amp;A</oddFooter>
  </headerFooter>
  <rowBreaks count="1" manualBreakCount="1">
    <brk id="22" max="17"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80"/>
  <sheetViews>
    <sheetView topLeftCell="A4" zoomScale="75" zoomScaleNormal="75" workbookViewId="0">
      <selection activeCell="B20" sqref="B20"/>
    </sheetView>
  </sheetViews>
  <sheetFormatPr defaultRowHeight="12.75" x14ac:dyDescent="0.2"/>
  <cols>
    <col min="1" max="1" width="18.28515625" bestFit="1" customWidth="1"/>
    <col min="2" max="2" width="14.5703125" bestFit="1" customWidth="1"/>
    <col min="3" max="3" width="14.85546875" bestFit="1" customWidth="1"/>
    <col min="4" max="4" width="14.140625" bestFit="1" customWidth="1"/>
    <col min="5" max="5" width="17.140625" customWidth="1"/>
    <col min="6" max="6" width="17.42578125" bestFit="1" customWidth="1"/>
    <col min="7" max="7" width="14.85546875" bestFit="1" customWidth="1"/>
    <col min="8" max="8" width="14.28515625" bestFit="1" customWidth="1"/>
    <col min="9" max="9" width="16.5703125" bestFit="1" customWidth="1"/>
    <col min="10" max="10" width="19.140625" bestFit="1" customWidth="1"/>
    <col min="11" max="12" width="13.28515625" bestFit="1" customWidth="1"/>
    <col min="13" max="13" width="15.7109375" bestFit="1" customWidth="1"/>
    <col min="14" max="14" width="14" customWidth="1"/>
    <col min="15" max="15" width="8.7109375" customWidth="1"/>
  </cols>
  <sheetData>
    <row r="1" spans="1:18" ht="31.5" customHeight="1" x14ac:dyDescent="0.25">
      <c r="A1" s="1"/>
      <c r="G1" s="115" t="s">
        <v>137</v>
      </c>
      <c r="H1" s="115"/>
      <c r="I1" s="115"/>
      <c r="J1" s="115"/>
      <c r="K1" s="115"/>
    </row>
    <row r="2" spans="1:18" ht="15.75" x14ac:dyDescent="0.25">
      <c r="A2" s="1"/>
      <c r="E2" s="2"/>
      <c r="F2" s="2"/>
      <c r="G2" s="2"/>
      <c r="H2" s="2"/>
      <c r="I2" s="2"/>
      <c r="J2" s="2"/>
      <c r="K2" s="2"/>
    </row>
    <row r="3" spans="1:18" ht="15" customHeight="1" x14ac:dyDescent="0.25">
      <c r="A3" s="21">
        <v>2010</v>
      </c>
      <c r="B3" s="20"/>
      <c r="C3" s="20"/>
      <c r="D3" s="20"/>
      <c r="E3" s="20"/>
      <c r="F3" s="20"/>
      <c r="G3" s="20"/>
      <c r="H3" s="20"/>
      <c r="I3" s="20"/>
      <c r="J3" s="20"/>
      <c r="K3" s="116" t="s">
        <v>128</v>
      </c>
      <c r="L3" s="117"/>
      <c r="M3" s="117"/>
      <c r="N3" s="117"/>
      <c r="O3" s="20"/>
      <c r="P3" s="20"/>
      <c r="Q3" s="20"/>
      <c r="R3" s="20"/>
    </row>
    <row r="4" spans="1:18" s="3" customFormat="1" ht="40.5" customHeight="1" x14ac:dyDescent="0.2">
      <c r="A4" s="22" t="s">
        <v>107</v>
      </c>
      <c r="B4" s="24" t="s">
        <v>0</v>
      </c>
      <c r="C4" s="24" t="s">
        <v>1</v>
      </c>
      <c r="D4" s="24" t="s">
        <v>2</v>
      </c>
      <c r="E4" s="24" t="s">
        <v>3</v>
      </c>
      <c r="F4" s="24" t="s">
        <v>4</v>
      </c>
      <c r="G4" s="24" t="s">
        <v>5</v>
      </c>
      <c r="H4" s="24" t="s">
        <v>6</v>
      </c>
      <c r="I4" s="24" t="s">
        <v>7</v>
      </c>
      <c r="J4" s="24" t="s">
        <v>8</v>
      </c>
      <c r="K4" s="24" t="s">
        <v>9</v>
      </c>
      <c r="L4" s="24" t="s">
        <v>10</v>
      </c>
      <c r="M4" s="24" t="s">
        <v>11</v>
      </c>
      <c r="N4" s="25" t="s">
        <v>12</v>
      </c>
      <c r="O4" s="25" t="s">
        <v>13</v>
      </c>
      <c r="P4" s="25" t="s">
        <v>27</v>
      </c>
      <c r="Q4" s="25" t="s">
        <v>28</v>
      </c>
      <c r="R4" s="26"/>
    </row>
    <row r="5" spans="1:18" s="5" customFormat="1" x14ac:dyDescent="0.2">
      <c r="A5" s="27" t="s">
        <v>14</v>
      </c>
      <c r="B5" s="73">
        <v>250</v>
      </c>
      <c r="C5" s="73">
        <v>300</v>
      </c>
      <c r="D5" s="73">
        <v>350</v>
      </c>
      <c r="E5" s="73">
        <v>400</v>
      </c>
      <c r="F5" s="73">
        <v>450</v>
      </c>
      <c r="G5" s="73">
        <v>500</v>
      </c>
      <c r="H5" s="73">
        <v>550</v>
      </c>
      <c r="I5" s="73">
        <v>600</v>
      </c>
      <c r="J5" s="73">
        <v>650</v>
      </c>
      <c r="K5" s="29">
        <f t="shared" ref="K5:L16" si="0">J5+(J5*10/100)</f>
        <v>715</v>
      </c>
      <c r="L5" s="29">
        <f t="shared" si="0"/>
        <v>786.5</v>
      </c>
      <c r="M5" s="29">
        <f t="shared" ref="M5:M16" si="1">L5+(L5*30/100)</f>
        <v>1022.45</v>
      </c>
      <c r="N5" s="60">
        <f t="shared" ref="N5:N16" si="2">SUM(B5:M5)</f>
        <v>6573.95</v>
      </c>
      <c r="O5" s="60">
        <f t="shared" ref="O5:O16" si="3">AVERAGE(B5:M5)</f>
        <v>547.82916666666665</v>
      </c>
      <c r="P5" s="28">
        <f t="shared" ref="P5:P16" si="4">MIN(B5:M5)</f>
        <v>250</v>
      </c>
      <c r="Q5" s="28">
        <f t="shared" ref="Q5:Q16" si="5">MAX(B5:M5)</f>
        <v>1022.45</v>
      </c>
      <c r="R5" s="30"/>
    </row>
    <row r="6" spans="1:18" s="5" customFormat="1" x14ac:dyDescent="0.2">
      <c r="A6" s="27" t="s">
        <v>16</v>
      </c>
      <c r="B6" s="73">
        <v>350</v>
      </c>
      <c r="C6" s="73">
        <v>370</v>
      </c>
      <c r="D6" s="73">
        <v>390</v>
      </c>
      <c r="E6" s="73">
        <v>380</v>
      </c>
      <c r="F6" s="73">
        <v>370</v>
      </c>
      <c r="G6" s="73">
        <v>360</v>
      </c>
      <c r="H6" s="73">
        <v>350</v>
      </c>
      <c r="I6" s="73">
        <v>340</v>
      </c>
      <c r="J6" s="73">
        <v>330</v>
      </c>
      <c r="K6" s="29">
        <f t="shared" si="0"/>
        <v>363</v>
      </c>
      <c r="L6" s="29">
        <f t="shared" si="0"/>
        <v>399.3</v>
      </c>
      <c r="M6" s="29">
        <f t="shared" si="1"/>
        <v>519.09</v>
      </c>
      <c r="N6" s="60">
        <f t="shared" si="2"/>
        <v>4521.3900000000003</v>
      </c>
      <c r="O6" s="60">
        <f t="shared" si="3"/>
        <v>376.78250000000003</v>
      </c>
      <c r="P6" s="28">
        <f t="shared" si="4"/>
        <v>330</v>
      </c>
      <c r="Q6" s="28">
        <f t="shared" si="5"/>
        <v>519.09</v>
      </c>
      <c r="R6" s="30"/>
    </row>
    <row r="7" spans="1:18" s="5" customFormat="1" x14ac:dyDescent="0.2">
      <c r="A7" s="27" t="s">
        <v>17</v>
      </c>
      <c r="B7" s="73">
        <v>150</v>
      </c>
      <c r="C7" s="73">
        <v>200</v>
      </c>
      <c r="D7" s="73">
        <v>250</v>
      </c>
      <c r="E7" s="73">
        <v>300</v>
      </c>
      <c r="F7" s="73">
        <v>350</v>
      </c>
      <c r="G7" s="73">
        <v>400</v>
      </c>
      <c r="H7" s="73">
        <v>450</v>
      </c>
      <c r="I7" s="73">
        <v>500</v>
      </c>
      <c r="J7" s="73">
        <v>550</v>
      </c>
      <c r="K7" s="29">
        <f t="shared" si="0"/>
        <v>605</v>
      </c>
      <c r="L7" s="29">
        <f t="shared" si="0"/>
        <v>665.5</v>
      </c>
      <c r="M7" s="29">
        <f t="shared" si="1"/>
        <v>865.15</v>
      </c>
      <c r="N7" s="60">
        <f t="shared" si="2"/>
        <v>5285.65</v>
      </c>
      <c r="O7" s="60">
        <f t="shared" si="3"/>
        <v>440.4708333333333</v>
      </c>
      <c r="P7" s="28">
        <f t="shared" si="4"/>
        <v>150</v>
      </c>
      <c r="Q7" s="28">
        <f t="shared" si="5"/>
        <v>865.15</v>
      </c>
      <c r="R7" s="30"/>
    </row>
    <row r="8" spans="1:18" s="5" customFormat="1" x14ac:dyDescent="0.2">
      <c r="A8" s="31" t="s">
        <v>15</v>
      </c>
      <c r="B8" s="73">
        <v>450</v>
      </c>
      <c r="C8" s="73">
        <v>490</v>
      </c>
      <c r="D8" s="73">
        <v>530</v>
      </c>
      <c r="E8" s="73">
        <v>570</v>
      </c>
      <c r="F8" s="73">
        <v>610</v>
      </c>
      <c r="G8" s="73">
        <v>650</v>
      </c>
      <c r="H8" s="73">
        <v>690</v>
      </c>
      <c r="I8" s="73">
        <v>730</v>
      </c>
      <c r="J8" s="73">
        <v>770</v>
      </c>
      <c r="K8" s="29">
        <f t="shared" si="0"/>
        <v>847</v>
      </c>
      <c r="L8" s="29">
        <f t="shared" si="0"/>
        <v>931.7</v>
      </c>
      <c r="M8" s="29">
        <f t="shared" si="1"/>
        <v>1211.21</v>
      </c>
      <c r="N8" s="60">
        <f t="shared" si="2"/>
        <v>8479.91</v>
      </c>
      <c r="O8" s="60">
        <f t="shared" si="3"/>
        <v>706.65916666666669</v>
      </c>
      <c r="P8" s="28">
        <f t="shared" si="4"/>
        <v>450</v>
      </c>
      <c r="Q8" s="28">
        <f t="shared" si="5"/>
        <v>1211.21</v>
      </c>
      <c r="R8" s="30"/>
    </row>
    <row r="9" spans="1:18" s="5" customFormat="1" x14ac:dyDescent="0.2">
      <c r="A9" s="31" t="s">
        <v>18</v>
      </c>
      <c r="B9" s="73">
        <v>250</v>
      </c>
      <c r="C9" s="73">
        <v>270</v>
      </c>
      <c r="D9" s="73">
        <v>290</v>
      </c>
      <c r="E9" s="73">
        <v>310</v>
      </c>
      <c r="F9" s="73">
        <v>330</v>
      </c>
      <c r="G9" s="73">
        <v>400</v>
      </c>
      <c r="H9" s="73">
        <v>370</v>
      </c>
      <c r="I9" s="73">
        <v>390</v>
      </c>
      <c r="J9" s="73">
        <v>410</v>
      </c>
      <c r="K9" s="29">
        <f t="shared" si="0"/>
        <v>451</v>
      </c>
      <c r="L9" s="29">
        <f t="shared" si="0"/>
        <v>496.1</v>
      </c>
      <c r="M9" s="29">
        <f t="shared" si="1"/>
        <v>644.93000000000006</v>
      </c>
      <c r="N9" s="60">
        <f t="shared" si="2"/>
        <v>4612.03</v>
      </c>
      <c r="O9" s="60">
        <f t="shared" si="3"/>
        <v>384.33583333333331</v>
      </c>
      <c r="P9" s="28">
        <f t="shared" si="4"/>
        <v>250</v>
      </c>
      <c r="Q9" s="28">
        <f t="shared" si="5"/>
        <v>644.93000000000006</v>
      </c>
      <c r="R9" s="30"/>
    </row>
    <row r="10" spans="1:18" s="5" customFormat="1" x14ac:dyDescent="0.2">
      <c r="A10" s="31" t="s">
        <v>19</v>
      </c>
      <c r="B10" s="73">
        <v>350</v>
      </c>
      <c r="C10" s="73">
        <v>360</v>
      </c>
      <c r="D10" s="73">
        <v>370</v>
      </c>
      <c r="E10" s="73">
        <v>380</v>
      </c>
      <c r="F10" s="73">
        <v>390</v>
      </c>
      <c r="G10" s="73">
        <v>400</v>
      </c>
      <c r="H10" s="73">
        <v>410</v>
      </c>
      <c r="I10" s="73">
        <v>420</v>
      </c>
      <c r="J10" s="73">
        <v>430</v>
      </c>
      <c r="K10" s="29">
        <f t="shared" si="0"/>
        <v>473</v>
      </c>
      <c r="L10" s="29">
        <f t="shared" si="0"/>
        <v>520.29999999999995</v>
      </c>
      <c r="M10" s="29">
        <f t="shared" si="1"/>
        <v>676.38999999999987</v>
      </c>
      <c r="N10" s="60">
        <f t="shared" si="2"/>
        <v>5179.6900000000005</v>
      </c>
      <c r="O10" s="60">
        <f t="shared" si="3"/>
        <v>431.64083333333338</v>
      </c>
      <c r="P10" s="28">
        <f t="shared" si="4"/>
        <v>350</v>
      </c>
      <c r="Q10" s="28">
        <f t="shared" si="5"/>
        <v>676.38999999999987</v>
      </c>
      <c r="R10" s="30"/>
    </row>
    <row r="11" spans="1:18" s="5" customFormat="1" x14ac:dyDescent="0.2">
      <c r="A11" s="32" t="s">
        <v>20</v>
      </c>
      <c r="B11" s="73">
        <v>550</v>
      </c>
      <c r="C11" s="73">
        <v>540</v>
      </c>
      <c r="D11" s="73">
        <v>530</v>
      </c>
      <c r="E11" s="73">
        <v>520</v>
      </c>
      <c r="F11" s="73">
        <v>510</v>
      </c>
      <c r="G11" s="73">
        <v>500</v>
      </c>
      <c r="H11" s="73">
        <v>490</v>
      </c>
      <c r="I11" s="73">
        <v>480</v>
      </c>
      <c r="J11" s="73">
        <v>470</v>
      </c>
      <c r="K11" s="29">
        <f t="shared" si="0"/>
        <v>517</v>
      </c>
      <c r="L11" s="29">
        <f t="shared" si="0"/>
        <v>568.70000000000005</v>
      </c>
      <c r="M11" s="29">
        <f t="shared" si="1"/>
        <v>739.31000000000006</v>
      </c>
      <c r="N11" s="60">
        <f t="shared" si="2"/>
        <v>6415.01</v>
      </c>
      <c r="O11" s="60">
        <f t="shared" si="3"/>
        <v>534.58416666666665</v>
      </c>
      <c r="P11" s="28">
        <f t="shared" si="4"/>
        <v>470</v>
      </c>
      <c r="Q11" s="28">
        <f t="shared" si="5"/>
        <v>739.31000000000006</v>
      </c>
      <c r="R11" s="30"/>
    </row>
    <row r="12" spans="1:18" s="5" customFormat="1" x14ac:dyDescent="0.2">
      <c r="A12" s="32" t="s">
        <v>21</v>
      </c>
      <c r="B12" s="73">
        <v>750</v>
      </c>
      <c r="C12" s="73">
        <v>790</v>
      </c>
      <c r="D12" s="73">
        <v>830</v>
      </c>
      <c r="E12" s="73">
        <v>870</v>
      </c>
      <c r="F12" s="73">
        <v>910</v>
      </c>
      <c r="G12" s="73">
        <v>850</v>
      </c>
      <c r="H12" s="73">
        <v>990</v>
      </c>
      <c r="I12" s="73">
        <v>1030</v>
      </c>
      <c r="J12" s="73">
        <v>1070</v>
      </c>
      <c r="K12" s="29">
        <f t="shared" si="0"/>
        <v>1177</v>
      </c>
      <c r="L12" s="29">
        <f t="shared" si="0"/>
        <v>1294.7</v>
      </c>
      <c r="M12" s="29">
        <f t="shared" si="1"/>
        <v>1683.1100000000001</v>
      </c>
      <c r="N12" s="60">
        <f t="shared" si="2"/>
        <v>12244.810000000001</v>
      </c>
      <c r="O12" s="60">
        <f t="shared" si="3"/>
        <v>1020.4008333333335</v>
      </c>
      <c r="P12" s="28">
        <f t="shared" si="4"/>
        <v>750</v>
      </c>
      <c r="Q12" s="28">
        <f t="shared" si="5"/>
        <v>1683.1100000000001</v>
      </c>
      <c r="R12" s="30"/>
    </row>
    <row r="13" spans="1:18" s="5" customFormat="1" x14ac:dyDescent="0.2">
      <c r="A13" s="32" t="s">
        <v>22</v>
      </c>
      <c r="B13" s="73">
        <v>450</v>
      </c>
      <c r="C13" s="73">
        <v>460</v>
      </c>
      <c r="D13" s="73">
        <v>470</v>
      </c>
      <c r="E13" s="73">
        <v>480</v>
      </c>
      <c r="F13" s="73">
        <v>490</v>
      </c>
      <c r="G13" s="73">
        <v>500</v>
      </c>
      <c r="H13" s="73">
        <v>510</v>
      </c>
      <c r="I13" s="73">
        <v>520</v>
      </c>
      <c r="J13" s="73">
        <v>530</v>
      </c>
      <c r="K13" s="29">
        <f t="shared" si="0"/>
        <v>583</v>
      </c>
      <c r="L13" s="29">
        <f t="shared" si="0"/>
        <v>641.29999999999995</v>
      </c>
      <c r="M13" s="29">
        <f t="shared" si="1"/>
        <v>833.68999999999994</v>
      </c>
      <c r="N13" s="60">
        <f t="shared" si="2"/>
        <v>6467.99</v>
      </c>
      <c r="O13" s="60">
        <f t="shared" si="3"/>
        <v>538.99916666666661</v>
      </c>
      <c r="P13" s="28">
        <f t="shared" si="4"/>
        <v>450</v>
      </c>
      <c r="Q13" s="28">
        <f t="shared" si="5"/>
        <v>833.68999999999994</v>
      </c>
      <c r="R13" s="30"/>
    </row>
    <row r="14" spans="1:18" s="5" customFormat="1" x14ac:dyDescent="0.2">
      <c r="A14" s="33" t="s">
        <v>23</v>
      </c>
      <c r="B14" s="73">
        <v>150</v>
      </c>
      <c r="C14" s="73">
        <v>180</v>
      </c>
      <c r="D14" s="73">
        <v>210</v>
      </c>
      <c r="E14" s="73">
        <v>240</v>
      </c>
      <c r="F14" s="73">
        <v>270</v>
      </c>
      <c r="G14" s="73">
        <v>300</v>
      </c>
      <c r="H14" s="73">
        <v>330</v>
      </c>
      <c r="I14" s="73">
        <v>360</v>
      </c>
      <c r="J14" s="73">
        <v>390</v>
      </c>
      <c r="K14" s="29">
        <f t="shared" si="0"/>
        <v>429</v>
      </c>
      <c r="L14" s="29">
        <f t="shared" si="0"/>
        <v>471.9</v>
      </c>
      <c r="M14" s="29">
        <f t="shared" si="1"/>
        <v>613.47</v>
      </c>
      <c r="N14" s="60">
        <f t="shared" si="2"/>
        <v>3944.37</v>
      </c>
      <c r="O14" s="60">
        <f t="shared" si="3"/>
        <v>328.69749999999999</v>
      </c>
      <c r="P14" s="28">
        <f t="shared" si="4"/>
        <v>150</v>
      </c>
      <c r="Q14" s="28">
        <f t="shared" si="5"/>
        <v>613.47</v>
      </c>
      <c r="R14" s="30"/>
    </row>
    <row r="15" spans="1:18" s="5" customFormat="1" x14ac:dyDescent="0.2">
      <c r="A15" s="33" t="s">
        <v>24</v>
      </c>
      <c r="B15" s="73">
        <v>200</v>
      </c>
      <c r="C15" s="73">
        <v>210</v>
      </c>
      <c r="D15" s="73">
        <v>220</v>
      </c>
      <c r="E15" s="73">
        <v>230</v>
      </c>
      <c r="F15" s="73">
        <v>240</v>
      </c>
      <c r="G15" s="73">
        <v>250</v>
      </c>
      <c r="H15" s="73">
        <v>260</v>
      </c>
      <c r="I15" s="73">
        <v>270</v>
      </c>
      <c r="J15" s="73">
        <v>280</v>
      </c>
      <c r="K15" s="29">
        <f t="shared" si="0"/>
        <v>308</v>
      </c>
      <c r="L15" s="29">
        <f t="shared" si="0"/>
        <v>338.8</v>
      </c>
      <c r="M15" s="29">
        <f t="shared" si="1"/>
        <v>440.44</v>
      </c>
      <c r="N15" s="60">
        <f t="shared" si="2"/>
        <v>3247.2400000000002</v>
      </c>
      <c r="O15" s="60">
        <f t="shared" si="3"/>
        <v>270.60333333333335</v>
      </c>
      <c r="P15" s="28">
        <f t="shared" si="4"/>
        <v>200</v>
      </c>
      <c r="Q15" s="28">
        <f t="shared" si="5"/>
        <v>440.44</v>
      </c>
      <c r="R15" s="30"/>
    </row>
    <row r="16" spans="1:18" s="5" customFormat="1" x14ac:dyDescent="0.2">
      <c r="A16" s="33" t="s">
        <v>25</v>
      </c>
      <c r="B16" s="73">
        <v>100</v>
      </c>
      <c r="C16" s="73">
        <v>90</v>
      </c>
      <c r="D16" s="73">
        <v>80</v>
      </c>
      <c r="E16" s="73">
        <v>70</v>
      </c>
      <c r="F16" s="73">
        <v>60</v>
      </c>
      <c r="G16" s="73">
        <v>50</v>
      </c>
      <c r="H16" s="73">
        <v>40</v>
      </c>
      <c r="I16" s="73">
        <v>30</v>
      </c>
      <c r="J16" s="73">
        <v>50</v>
      </c>
      <c r="K16" s="29">
        <f t="shared" si="0"/>
        <v>55</v>
      </c>
      <c r="L16" s="29">
        <f t="shared" si="0"/>
        <v>60.5</v>
      </c>
      <c r="M16" s="29">
        <f t="shared" si="1"/>
        <v>78.650000000000006</v>
      </c>
      <c r="N16" s="60">
        <f t="shared" si="2"/>
        <v>764.15</v>
      </c>
      <c r="O16" s="60">
        <f t="shared" si="3"/>
        <v>63.679166666666667</v>
      </c>
      <c r="P16" s="28">
        <f t="shared" si="4"/>
        <v>30</v>
      </c>
      <c r="Q16" s="28">
        <f t="shared" si="5"/>
        <v>100</v>
      </c>
      <c r="R16" s="30"/>
    </row>
    <row r="17" spans="1:18" s="5" customFormat="1" ht="25.5" hidden="1" x14ac:dyDescent="0.2">
      <c r="A17" s="34" t="s">
        <v>109</v>
      </c>
      <c r="B17">
        <v>3400</v>
      </c>
      <c r="C17">
        <v>3900</v>
      </c>
      <c r="D17">
        <v>4150</v>
      </c>
      <c r="E17">
        <v>4400</v>
      </c>
      <c r="F17">
        <v>4900</v>
      </c>
      <c r="G17">
        <v>5400</v>
      </c>
      <c r="H17">
        <v>5700</v>
      </c>
      <c r="I17">
        <v>5900</v>
      </c>
      <c r="J17">
        <v>6400</v>
      </c>
      <c r="K17" s="28">
        <f t="shared" ref="K17:Q17" si="6">SUM(K5:K16)</f>
        <v>6523</v>
      </c>
      <c r="L17" s="28">
        <f t="shared" si="6"/>
        <v>7175.2999999999993</v>
      </c>
      <c r="M17" s="28">
        <f t="shared" si="6"/>
        <v>9327.89</v>
      </c>
      <c r="N17" s="28">
        <f t="shared" si="6"/>
        <v>67736.19</v>
      </c>
      <c r="O17" s="28">
        <f t="shared" si="6"/>
        <v>5644.6825000000008</v>
      </c>
      <c r="P17" s="28">
        <f t="shared" si="6"/>
        <v>3830</v>
      </c>
      <c r="Q17" s="28">
        <f t="shared" si="6"/>
        <v>9349.24</v>
      </c>
      <c r="R17" s="30"/>
    </row>
    <row r="18" spans="1:18" s="5" customFormat="1" ht="25.5" x14ac:dyDescent="0.2">
      <c r="A18" s="69" t="s">
        <v>83</v>
      </c>
      <c r="B18" s="74">
        <v>8500</v>
      </c>
      <c r="C18" s="74">
        <v>9500</v>
      </c>
      <c r="D18" s="74">
        <v>11500</v>
      </c>
      <c r="E18" s="74">
        <v>12500</v>
      </c>
      <c r="F18" s="74">
        <v>13500</v>
      </c>
      <c r="G18" s="74">
        <v>14500</v>
      </c>
      <c r="H18" s="74">
        <v>15000</v>
      </c>
      <c r="I18" s="74">
        <v>15500</v>
      </c>
      <c r="J18" s="74">
        <v>16500</v>
      </c>
      <c r="K18" s="64">
        <f>J18+(J18*10/100)</f>
        <v>18150</v>
      </c>
      <c r="L18" s="64">
        <f>K18+(K18*10/100)</f>
        <v>19965</v>
      </c>
      <c r="M18" s="64">
        <f>L18+(L18*30/100)</f>
        <v>25954.5</v>
      </c>
      <c r="N18" s="36"/>
      <c r="O18" s="36"/>
      <c r="P18" s="36"/>
      <c r="Q18" s="36"/>
      <c r="R18" s="30"/>
    </row>
    <row r="19" spans="1:18" s="5" customFormat="1" ht="63" customHeight="1" x14ac:dyDescent="0.2">
      <c r="A19" s="70" t="s">
        <v>133</v>
      </c>
      <c r="B19" s="65">
        <v>10000</v>
      </c>
      <c r="C19" s="65">
        <v>11000</v>
      </c>
      <c r="D19" s="65">
        <v>13000</v>
      </c>
      <c r="E19" s="65">
        <v>14000</v>
      </c>
      <c r="F19" s="65">
        <v>15000</v>
      </c>
      <c r="G19" s="65">
        <v>16000</v>
      </c>
      <c r="H19" s="65">
        <v>16500</v>
      </c>
      <c r="I19" s="65">
        <v>17000</v>
      </c>
      <c r="J19" s="65">
        <v>18000</v>
      </c>
      <c r="K19" s="66">
        <v>20000</v>
      </c>
      <c r="L19" s="65">
        <v>22000</v>
      </c>
      <c r="M19" s="65">
        <v>28000</v>
      </c>
      <c r="N19" s="30"/>
      <c r="O19" s="30"/>
      <c r="P19" s="30"/>
      <c r="Q19" s="30"/>
      <c r="R19" s="30"/>
    </row>
    <row r="20" spans="1:18" s="5" customFormat="1" ht="78" customHeight="1" x14ac:dyDescent="0.2">
      <c r="A20" s="71" t="s">
        <v>134</v>
      </c>
      <c r="B20" s="67">
        <f>SUM(B5+B6+B7)*B25+(B8+B9+B10)*B28+(B11+B13)*B30+(B12)*B31+(B14+B15+B16)*B34</f>
        <v>10787.5</v>
      </c>
      <c r="C20" s="67">
        <f>SUM(C5+C6+C7)*B25+(C8+C9+C10)*B28+(C11+C13)*B30+(C12)*B31+(C14+C15+C16)*B34</f>
        <v>11527.5</v>
      </c>
      <c r="D20" s="67">
        <f>SUM(D5+D6+D7)*B25+(D8+D9+D10)*B28+(D11+D13)*B30+(D12)*B31+(D14+D15+D16)*B34</f>
        <v>12267.5</v>
      </c>
      <c r="E20" s="67">
        <f>SUM(E5+E6+E7)*B25+(E8+E9+E10)*B28+(E11+E13)*B30+(E12)*B31+(E14+E15+E16)*B34</f>
        <v>12917.5</v>
      </c>
      <c r="F20" s="67">
        <f>SUM(F5+F6+F7)*B25+(F8+F9+F10)*B28+(F11+F13)*B30+(F12)*B31+(F14+F15+F16)*B34</f>
        <v>13567.5</v>
      </c>
      <c r="G20" s="67">
        <f>SUM(G5+G6+G7)*B25+(G8+G9+G10)*B28+(G11+G13)*B30+(G12)*B31+(G14+G15+G16)*B34</f>
        <v>14130</v>
      </c>
      <c r="H20" s="67">
        <f>SUM(H5+H6+H7)*B25+(H8+H9+H10)*B28+(H11+H13)*B30+(H12)*B31+(H14+H15+H16)*B34</f>
        <v>14867.5</v>
      </c>
      <c r="I20" s="67">
        <f>SUM(I5+I6+I7)*B25+(I8+I9+I10)*B28+(I11+I13)*B30+(I12)*B31+(I14+I15+I16)*B34</f>
        <v>15517.5</v>
      </c>
      <c r="J20" s="67">
        <f>SUM(J5+J6+J7)*B25+(J8+J9+J10)*B28+(J11+J13)*B30+(J12)*B31+(J14+J15+J16)*B34</f>
        <v>16265</v>
      </c>
      <c r="K20" s="67">
        <f>SUM(K5+K6+K7)*B25+(K8+K9+K10)*B28+(K11+K13)*B30+(K12)*B31+(K14+K15+K16)*B34</f>
        <v>17891.5</v>
      </c>
      <c r="L20" s="67">
        <f>SUM(L5+L6+L7)*B25+(L8+L9+L10)*B28+(L11+L13)*B30+(L12)*B31+(L14+L15+L16)*B34</f>
        <v>19680.650000000001</v>
      </c>
      <c r="M20" s="67">
        <f>SUM(M5+M6+M7)*B25+(M8+M9+M10)*B28+(M11+M13)*B30+(M12)*B31+(M14+M15+M16)*B34</f>
        <v>25584.845000000001</v>
      </c>
      <c r="N20" s="58"/>
      <c r="O20" s="58"/>
      <c r="P20" s="58"/>
      <c r="Q20" s="30"/>
      <c r="R20" s="30"/>
    </row>
    <row r="21" spans="1:18" s="19" customFormat="1" ht="79.5" customHeight="1" x14ac:dyDescent="0.2">
      <c r="A21" s="72" t="s">
        <v>135</v>
      </c>
      <c r="B21" s="68" t="str">
        <f t="shared" ref="B21:M21" si="7">IF(B20&gt;B19,"Above","Below")</f>
        <v>Above</v>
      </c>
      <c r="C21" s="68" t="str">
        <f t="shared" si="7"/>
        <v>Above</v>
      </c>
      <c r="D21" s="68" t="str">
        <f t="shared" si="7"/>
        <v>Below</v>
      </c>
      <c r="E21" s="68" t="str">
        <f t="shared" si="7"/>
        <v>Below</v>
      </c>
      <c r="F21" s="68" t="str">
        <f t="shared" si="7"/>
        <v>Below</v>
      </c>
      <c r="G21" s="68" t="str">
        <f t="shared" si="7"/>
        <v>Below</v>
      </c>
      <c r="H21" s="68" t="str">
        <f t="shared" si="7"/>
        <v>Below</v>
      </c>
      <c r="I21" s="68" t="str">
        <f t="shared" si="7"/>
        <v>Below</v>
      </c>
      <c r="J21" s="68" t="str">
        <f t="shared" si="7"/>
        <v>Below</v>
      </c>
      <c r="K21" s="68" t="str">
        <f t="shared" si="7"/>
        <v>Below</v>
      </c>
      <c r="L21" s="68" t="str">
        <f t="shared" si="7"/>
        <v>Below</v>
      </c>
      <c r="M21" s="68" t="str">
        <f t="shared" si="7"/>
        <v>Below</v>
      </c>
      <c r="N21" s="61"/>
      <c r="O21" s="61"/>
      <c r="P21" s="62"/>
      <c r="Q21" s="40"/>
      <c r="R21" s="40"/>
    </row>
    <row r="22" spans="1:18" s="5" customFormat="1" x14ac:dyDescent="0.2">
      <c r="A22" s="30"/>
      <c r="B22" s="30"/>
      <c r="C22" s="30"/>
      <c r="D22" s="30"/>
      <c r="E22" s="30"/>
      <c r="F22" s="30"/>
      <c r="G22" s="30"/>
      <c r="H22" s="30"/>
      <c r="I22" s="30"/>
      <c r="J22" s="30"/>
      <c r="K22" s="30"/>
      <c r="L22" s="30"/>
      <c r="M22" s="30"/>
      <c r="N22" s="30"/>
      <c r="O22" s="30"/>
      <c r="P22" s="30"/>
      <c r="Q22" s="30"/>
      <c r="R22" s="58"/>
    </row>
    <row r="23" spans="1:18" s="5" customFormat="1" ht="25.5" x14ac:dyDescent="0.2">
      <c r="A23" s="41" t="s">
        <v>106</v>
      </c>
      <c r="B23" s="41" t="s">
        <v>40</v>
      </c>
      <c r="C23" s="41" t="s">
        <v>26</v>
      </c>
      <c r="D23" s="42"/>
      <c r="E23" s="42"/>
      <c r="F23" s="30"/>
      <c r="G23" s="30"/>
      <c r="H23" s="30"/>
      <c r="I23" s="30"/>
      <c r="J23" s="30"/>
      <c r="K23" s="30"/>
      <c r="L23" s="30"/>
      <c r="M23" s="30"/>
      <c r="N23" s="30"/>
      <c r="O23" s="30"/>
      <c r="P23" s="30"/>
      <c r="Q23" s="30"/>
      <c r="R23" s="58"/>
    </row>
    <row r="24" spans="1:18" s="5" customFormat="1" x14ac:dyDescent="0.2">
      <c r="A24" s="27" t="s">
        <v>14</v>
      </c>
      <c r="B24" s="59">
        <v>3</v>
      </c>
      <c r="C24" s="28">
        <v>10</v>
      </c>
      <c r="D24" s="30"/>
      <c r="E24" s="30"/>
      <c r="F24" s="30"/>
      <c r="G24" s="30"/>
      <c r="H24" s="30"/>
      <c r="I24" s="30"/>
      <c r="J24" s="30"/>
      <c r="K24" s="30"/>
      <c r="L24" s="30"/>
      <c r="M24" s="30"/>
      <c r="N24" s="30"/>
      <c r="O24" s="30"/>
      <c r="P24" s="30"/>
      <c r="Q24" s="30"/>
      <c r="R24" s="58"/>
    </row>
    <row r="25" spans="1:18" s="5" customFormat="1" ht="12.75" customHeight="1" x14ac:dyDescent="0.2">
      <c r="A25" s="27" t="s">
        <v>16</v>
      </c>
      <c r="B25" s="59">
        <v>3</v>
      </c>
      <c r="C25" s="28">
        <v>10</v>
      </c>
      <c r="D25" s="30"/>
      <c r="E25" s="30"/>
      <c r="F25" s="30"/>
      <c r="G25" s="30"/>
      <c r="H25" s="30"/>
      <c r="I25" s="30"/>
      <c r="J25" s="30"/>
      <c r="K25" s="30"/>
      <c r="L25" s="30"/>
      <c r="M25" s="30"/>
      <c r="N25" s="30"/>
      <c r="O25" s="30"/>
      <c r="P25" s="30"/>
      <c r="Q25" s="30"/>
      <c r="R25" s="58"/>
    </row>
    <row r="26" spans="1:18" s="5" customFormat="1" ht="18.75" customHeight="1" x14ac:dyDescent="0.2">
      <c r="A26" s="27" t="s">
        <v>17</v>
      </c>
      <c r="B26" s="59">
        <v>3</v>
      </c>
      <c r="C26" s="28">
        <v>10</v>
      </c>
      <c r="D26" s="30"/>
      <c r="E26" s="30"/>
      <c r="F26" s="30"/>
      <c r="G26" s="30"/>
      <c r="H26" s="30"/>
      <c r="I26" s="30"/>
      <c r="J26" s="30"/>
      <c r="K26" s="30"/>
      <c r="L26" s="30"/>
      <c r="M26" s="30"/>
      <c r="N26" s="30"/>
      <c r="O26" s="30"/>
      <c r="P26" s="30"/>
      <c r="Q26" s="30"/>
      <c r="R26" s="58"/>
    </row>
    <row r="27" spans="1:18" s="5" customFormat="1" ht="17.25" customHeight="1" x14ac:dyDescent="0.2">
      <c r="A27" s="31" t="s">
        <v>15</v>
      </c>
      <c r="B27" s="59">
        <v>2.75</v>
      </c>
      <c r="C27" s="28">
        <v>10</v>
      </c>
      <c r="D27" s="30"/>
      <c r="E27" s="30"/>
      <c r="F27" s="30"/>
      <c r="G27" s="30"/>
      <c r="H27" s="30"/>
      <c r="I27" s="30"/>
      <c r="J27" s="30"/>
      <c r="K27" s="30"/>
      <c r="L27" s="30"/>
      <c r="M27" s="30"/>
      <c r="N27" s="30"/>
      <c r="O27" s="30"/>
      <c r="P27" s="30"/>
      <c r="Q27" s="30"/>
      <c r="R27" s="58"/>
    </row>
    <row r="28" spans="1:18" s="5" customFormat="1" ht="18" customHeight="1" x14ac:dyDescent="0.2">
      <c r="A28" s="31" t="s">
        <v>18</v>
      </c>
      <c r="B28" s="59">
        <v>2.75</v>
      </c>
      <c r="C28" s="28">
        <v>10</v>
      </c>
      <c r="D28" s="30"/>
      <c r="E28" s="30"/>
      <c r="F28" s="30"/>
      <c r="G28" s="30"/>
      <c r="H28" s="30"/>
      <c r="I28" s="30"/>
      <c r="J28" s="30"/>
      <c r="K28" s="30"/>
      <c r="L28" s="30"/>
      <c r="M28" s="30"/>
      <c r="N28" s="30"/>
      <c r="O28" s="30"/>
      <c r="P28" s="30"/>
      <c r="Q28" s="30"/>
      <c r="R28" s="58"/>
    </row>
    <row r="29" spans="1:18" s="5" customFormat="1" ht="17.25" customHeight="1" x14ac:dyDescent="0.2">
      <c r="A29" s="31" t="s">
        <v>19</v>
      </c>
      <c r="B29" s="59">
        <v>2.75</v>
      </c>
      <c r="C29" s="28">
        <v>20</v>
      </c>
      <c r="D29" s="30"/>
      <c r="E29" s="30"/>
      <c r="F29" s="30"/>
      <c r="G29" s="30"/>
      <c r="H29" s="30"/>
      <c r="I29" s="30"/>
      <c r="J29" s="30"/>
      <c r="K29" s="30"/>
      <c r="L29" s="30"/>
      <c r="M29" s="30"/>
      <c r="N29" s="30"/>
      <c r="O29" s="30"/>
      <c r="P29" s="30"/>
      <c r="Q29" s="30"/>
      <c r="R29" s="58"/>
    </row>
    <row r="30" spans="1:18" s="5" customFormat="1" x14ac:dyDescent="0.2">
      <c r="A30" s="32" t="s">
        <v>20</v>
      </c>
      <c r="B30" s="59">
        <v>2.5</v>
      </c>
      <c r="C30" s="28">
        <v>20</v>
      </c>
      <c r="D30" s="30"/>
      <c r="E30" s="30"/>
      <c r="F30" s="30"/>
      <c r="G30" s="30"/>
      <c r="H30" s="30"/>
      <c r="I30" s="30"/>
      <c r="J30" s="30"/>
      <c r="K30" s="30"/>
      <c r="L30" s="30"/>
      <c r="M30" s="30"/>
      <c r="N30" s="30"/>
      <c r="O30" s="30"/>
      <c r="P30" s="30"/>
      <c r="Q30" s="30"/>
      <c r="R30" s="58"/>
    </row>
    <row r="31" spans="1:18" s="5" customFormat="1" x14ac:dyDescent="0.2">
      <c r="A31" s="32" t="s">
        <v>21</v>
      </c>
      <c r="B31" s="59">
        <v>2.25</v>
      </c>
      <c r="C31" s="28">
        <v>40</v>
      </c>
      <c r="D31" s="30"/>
      <c r="E31" s="30"/>
      <c r="F31" s="30"/>
      <c r="G31" s="30"/>
      <c r="H31" s="30"/>
      <c r="I31" s="30"/>
      <c r="J31" s="30"/>
      <c r="K31" s="30"/>
      <c r="L31" s="30"/>
      <c r="M31" s="30"/>
      <c r="N31" s="30"/>
      <c r="O31" s="30"/>
      <c r="P31" s="30"/>
      <c r="Q31" s="30"/>
      <c r="R31" s="58"/>
    </row>
    <row r="32" spans="1:18" s="5" customFormat="1" x14ac:dyDescent="0.2">
      <c r="A32" s="32" t="s">
        <v>22</v>
      </c>
      <c r="B32" s="59">
        <v>2.5</v>
      </c>
      <c r="C32" s="28">
        <v>20</v>
      </c>
      <c r="D32" s="30"/>
      <c r="E32" s="30"/>
      <c r="F32" s="30"/>
      <c r="G32" s="30"/>
      <c r="H32" s="30"/>
      <c r="I32" s="30"/>
      <c r="J32" s="30"/>
      <c r="K32" s="30"/>
      <c r="L32" s="30"/>
      <c r="M32" s="30"/>
      <c r="N32" s="30"/>
      <c r="O32" s="30"/>
      <c r="P32" s="30"/>
      <c r="Q32" s="30"/>
      <c r="R32" s="58"/>
    </row>
    <row r="33" spans="1:19" s="5" customFormat="1" x14ac:dyDescent="0.2">
      <c r="A33" s="33" t="s">
        <v>23</v>
      </c>
      <c r="B33" s="59">
        <v>3.25</v>
      </c>
      <c r="C33" s="28">
        <v>10</v>
      </c>
      <c r="D33" s="30"/>
      <c r="E33" s="30"/>
      <c r="F33" s="30"/>
      <c r="G33" s="30"/>
      <c r="H33" s="30"/>
      <c r="I33" s="30"/>
      <c r="J33" s="30"/>
      <c r="K33" s="30"/>
      <c r="L33" s="30"/>
      <c r="M33" s="30"/>
      <c r="N33" s="30"/>
      <c r="O33" s="30"/>
      <c r="P33" s="30"/>
      <c r="Q33" s="30"/>
      <c r="R33" s="58"/>
    </row>
    <row r="34" spans="1:19" s="3" customFormat="1" x14ac:dyDescent="0.2">
      <c r="A34" s="33" t="s">
        <v>24</v>
      </c>
      <c r="B34" s="59">
        <v>3.25</v>
      </c>
      <c r="C34" s="28">
        <v>10</v>
      </c>
      <c r="D34" s="30"/>
      <c r="E34" s="30"/>
      <c r="F34" s="30"/>
      <c r="G34" s="30"/>
      <c r="H34" s="30"/>
      <c r="I34" s="30"/>
      <c r="J34" s="30"/>
      <c r="K34" s="30"/>
      <c r="L34" s="30"/>
      <c r="M34" s="30"/>
      <c r="N34" s="30"/>
      <c r="O34" s="30"/>
      <c r="P34" s="30"/>
      <c r="Q34" s="30"/>
      <c r="R34" s="58"/>
      <c r="S34" s="5"/>
    </row>
    <row r="35" spans="1:19" s="5" customFormat="1" x14ac:dyDescent="0.2">
      <c r="A35" s="33" t="s">
        <v>25</v>
      </c>
      <c r="B35" s="59">
        <v>3.25</v>
      </c>
      <c r="C35" s="28">
        <v>10</v>
      </c>
      <c r="D35" s="30"/>
      <c r="E35" s="30"/>
      <c r="F35" s="30"/>
      <c r="G35" s="30"/>
      <c r="H35" s="30"/>
      <c r="I35" s="30"/>
      <c r="J35" s="30"/>
      <c r="K35" s="30"/>
      <c r="L35" s="30"/>
      <c r="M35" s="30"/>
      <c r="N35" s="30"/>
      <c r="O35" s="30"/>
      <c r="P35" s="30"/>
      <c r="Q35" s="30"/>
      <c r="R35" s="58"/>
    </row>
    <row r="36" spans="1:19" s="5" customFormat="1" x14ac:dyDescent="0.2">
      <c r="A36" s="44"/>
      <c r="B36" s="45"/>
      <c r="C36" s="46"/>
      <c r="D36" s="30"/>
      <c r="E36" s="30"/>
      <c r="F36" s="30"/>
      <c r="G36" s="30"/>
      <c r="H36" s="30"/>
      <c r="I36" s="30"/>
      <c r="J36" s="30"/>
      <c r="K36" s="30"/>
      <c r="L36" s="30"/>
      <c r="M36" s="30"/>
      <c r="N36" s="30"/>
      <c r="O36" s="30"/>
      <c r="P36" s="30"/>
      <c r="Q36" s="30"/>
      <c r="R36" s="58"/>
    </row>
    <row r="37" spans="1:19" s="5" customFormat="1" x14ac:dyDescent="0.2">
      <c r="A37" s="44"/>
      <c r="B37" s="45"/>
      <c r="C37" s="46"/>
      <c r="D37" s="30"/>
      <c r="E37" s="30"/>
      <c r="F37" s="30"/>
      <c r="G37" s="30"/>
      <c r="H37" s="30"/>
      <c r="I37" s="30"/>
      <c r="J37" s="30"/>
      <c r="K37" s="30"/>
      <c r="L37" s="30"/>
      <c r="M37" s="30"/>
      <c r="N37" s="30"/>
      <c r="O37" s="30"/>
      <c r="P37" s="30"/>
      <c r="Q37" s="30"/>
      <c r="R37" s="58"/>
    </row>
    <row r="38" spans="1:19" s="5" customFormat="1" ht="12.75" customHeight="1" x14ac:dyDescent="0.2">
      <c r="A38" s="47" t="s">
        <v>29</v>
      </c>
      <c r="B38" s="118" t="s">
        <v>96</v>
      </c>
      <c r="C38" s="119"/>
      <c r="D38" s="120"/>
      <c r="E38" s="30"/>
      <c r="F38" s="30"/>
      <c r="G38" s="30"/>
      <c r="H38" s="30"/>
      <c r="I38" s="30"/>
      <c r="J38" s="30"/>
      <c r="K38" s="30"/>
      <c r="L38" s="30"/>
      <c r="M38" s="30"/>
      <c r="N38" s="30"/>
      <c r="O38" s="30"/>
      <c r="P38" s="30"/>
      <c r="Q38" s="30"/>
      <c r="R38" s="30"/>
    </row>
    <row r="39" spans="1:19" s="5" customFormat="1" ht="25.5" x14ac:dyDescent="0.2">
      <c r="A39" s="48" t="s">
        <v>35</v>
      </c>
      <c r="B39" s="48" t="s">
        <v>34</v>
      </c>
      <c r="C39" s="48" t="s">
        <v>92</v>
      </c>
      <c r="D39" s="48" t="s">
        <v>39</v>
      </c>
      <c r="E39" s="48" t="s">
        <v>95</v>
      </c>
      <c r="F39" s="48" t="s">
        <v>85</v>
      </c>
      <c r="G39" s="48" t="s">
        <v>93</v>
      </c>
      <c r="H39" s="48" t="s">
        <v>94</v>
      </c>
      <c r="I39" s="26"/>
      <c r="J39" s="49" t="s">
        <v>153</v>
      </c>
      <c r="K39" s="49" t="s">
        <v>86</v>
      </c>
      <c r="L39" s="26"/>
      <c r="M39" s="50" t="s">
        <v>100</v>
      </c>
      <c r="N39" s="50" t="s">
        <v>99</v>
      </c>
      <c r="O39" s="30"/>
      <c r="P39" s="30"/>
      <c r="Q39" s="30"/>
      <c r="R39" s="30"/>
    </row>
    <row r="40" spans="1:19" s="5" customFormat="1" ht="38.25" x14ac:dyDescent="0.2">
      <c r="A40" s="51" t="s">
        <v>97</v>
      </c>
      <c r="B40" s="51" t="s">
        <v>139</v>
      </c>
      <c r="C40" s="51" t="s">
        <v>140</v>
      </c>
      <c r="D40" s="51" t="s">
        <v>142</v>
      </c>
      <c r="E40" s="51" t="s">
        <v>154</v>
      </c>
      <c r="F40" s="51" t="s">
        <v>157</v>
      </c>
      <c r="G40" s="52" t="s">
        <v>141</v>
      </c>
      <c r="H40" s="51" t="s">
        <v>150</v>
      </c>
      <c r="I40" s="53"/>
      <c r="J40" s="54" t="s">
        <v>182</v>
      </c>
      <c r="K40" s="52" t="s">
        <v>183</v>
      </c>
      <c r="L40" s="53"/>
      <c r="M40" s="51" t="s">
        <v>101</v>
      </c>
      <c r="N40" s="55">
        <v>0</v>
      </c>
      <c r="O40" s="30"/>
      <c r="P40" s="30"/>
      <c r="Q40" s="30"/>
      <c r="R40" s="30"/>
    </row>
    <row r="41" spans="1:19" s="5" customFormat="1" ht="25.5" x14ac:dyDescent="0.2">
      <c r="A41" s="51" t="s">
        <v>143</v>
      </c>
      <c r="B41" s="51" t="s">
        <v>145</v>
      </c>
      <c r="C41" s="51" t="s">
        <v>140</v>
      </c>
      <c r="D41" s="51" t="s">
        <v>148</v>
      </c>
      <c r="E41" s="51" t="s">
        <v>155</v>
      </c>
      <c r="F41" s="51" t="s">
        <v>158</v>
      </c>
      <c r="G41" s="52" t="s">
        <v>160</v>
      </c>
      <c r="H41" s="51" t="s">
        <v>151</v>
      </c>
      <c r="I41" s="53"/>
      <c r="J41" s="54" t="s">
        <v>184</v>
      </c>
      <c r="K41" s="52" t="s">
        <v>185</v>
      </c>
      <c r="L41" s="56"/>
      <c r="M41" s="52" t="s">
        <v>102</v>
      </c>
      <c r="N41" s="43">
        <v>5.5</v>
      </c>
      <c r="O41" s="30"/>
      <c r="P41" s="30"/>
      <c r="Q41" s="30"/>
      <c r="R41" s="30"/>
    </row>
    <row r="42" spans="1:19" s="5" customFormat="1" ht="63.75" x14ac:dyDescent="0.2">
      <c r="A42" s="51" t="s">
        <v>144</v>
      </c>
      <c r="B42" s="51" t="s">
        <v>146</v>
      </c>
      <c r="C42" s="51" t="s">
        <v>140</v>
      </c>
      <c r="D42" s="51" t="s">
        <v>149</v>
      </c>
      <c r="E42" s="51" t="s">
        <v>156</v>
      </c>
      <c r="F42" s="51" t="s">
        <v>159</v>
      </c>
      <c r="G42" s="52" t="s">
        <v>123</v>
      </c>
      <c r="H42" s="51" t="s">
        <v>152</v>
      </c>
      <c r="I42" s="53"/>
      <c r="J42" s="54" t="s">
        <v>186</v>
      </c>
      <c r="K42" s="52" t="s">
        <v>187</v>
      </c>
      <c r="L42" s="56"/>
      <c r="M42" s="51" t="s">
        <v>103</v>
      </c>
      <c r="N42" s="57">
        <v>10</v>
      </c>
      <c r="O42" s="30"/>
      <c r="P42" s="30"/>
      <c r="Q42" s="30"/>
      <c r="R42" s="30"/>
    </row>
    <row r="43" spans="1:19" s="5" customFormat="1" x14ac:dyDescent="0.2"/>
    <row r="44" spans="1:19" s="5" customFormat="1" ht="29.25" customHeight="1" x14ac:dyDescent="0.2"/>
    <row r="45" spans="1:19" s="5" customFormat="1" x14ac:dyDescent="0.2"/>
    <row r="46" spans="1:19" s="5" customFormat="1" x14ac:dyDescent="0.2">
      <c r="A46" s="18" t="s">
        <v>30</v>
      </c>
    </row>
    <row r="47" spans="1:19" s="5" customFormat="1" ht="51" x14ac:dyDescent="0.2">
      <c r="A47" s="10" t="s">
        <v>36</v>
      </c>
      <c r="B47" s="10" t="s">
        <v>37</v>
      </c>
      <c r="C47" s="10" t="s">
        <v>31</v>
      </c>
      <c r="D47" s="10" t="s">
        <v>69</v>
      </c>
      <c r="E47" s="10" t="s">
        <v>32</v>
      </c>
      <c r="F47" s="10" t="s">
        <v>33</v>
      </c>
      <c r="G47" s="10" t="s">
        <v>44</v>
      </c>
      <c r="H47" s="10" t="s">
        <v>82</v>
      </c>
      <c r="I47" s="10" t="s">
        <v>38</v>
      </c>
      <c r="J47" s="11" t="s">
        <v>62</v>
      </c>
      <c r="K47" s="11" t="s">
        <v>41</v>
      </c>
      <c r="L47" s="11" t="s">
        <v>80</v>
      </c>
      <c r="M47" s="11" t="s">
        <v>70</v>
      </c>
      <c r="N47" s="11" t="s">
        <v>71</v>
      </c>
      <c r="O47" s="3"/>
      <c r="P47" s="16"/>
      <c r="Q47" s="3"/>
      <c r="R47" s="63" t="s">
        <v>105</v>
      </c>
      <c r="S47" s="3"/>
    </row>
    <row r="48" spans="1:19" s="5" customFormat="1" ht="25.5" x14ac:dyDescent="0.2">
      <c r="A48" s="13" t="s">
        <v>188</v>
      </c>
      <c r="B48" s="13" t="s">
        <v>189</v>
      </c>
      <c r="C48" s="12">
        <v>31969</v>
      </c>
      <c r="D48" s="4">
        <f ca="1">INT((TODAY()-C48)/365)</f>
        <v>32</v>
      </c>
      <c r="E48" s="13" t="s">
        <v>67</v>
      </c>
      <c r="F48" s="15" t="s">
        <v>79</v>
      </c>
      <c r="G48" s="13" t="s">
        <v>59</v>
      </c>
      <c r="H48" s="13" t="s">
        <v>60</v>
      </c>
      <c r="I48" s="9" t="s">
        <v>223</v>
      </c>
      <c r="J48" s="13">
        <v>7</v>
      </c>
      <c r="K48" s="13" t="s">
        <v>43</v>
      </c>
      <c r="L48" s="13" t="s">
        <v>52</v>
      </c>
      <c r="M48" s="13">
        <v>18</v>
      </c>
      <c r="N48" s="6">
        <f>M48*C57</f>
        <v>104.39999999999999</v>
      </c>
      <c r="R48" s="14">
        <f t="shared" ref="R48:R54" ca="1" si="8">(TODAY()-C48)/365</f>
        <v>32.706849315068496</v>
      </c>
    </row>
    <row r="49" spans="1:18" s="5" customFormat="1" ht="25.5" x14ac:dyDescent="0.2">
      <c r="A49" s="13" t="s">
        <v>190</v>
      </c>
      <c r="B49" s="13" t="s">
        <v>191</v>
      </c>
      <c r="C49" s="12">
        <v>26610</v>
      </c>
      <c r="D49" s="4">
        <f t="shared" ref="D49:D54" ca="1" si="9">INT((TODAY()-C49)/365.25)</f>
        <v>47</v>
      </c>
      <c r="E49" s="13" t="s">
        <v>68</v>
      </c>
      <c r="F49" s="15" t="s">
        <v>79</v>
      </c>
      <c r="G49" s="13" t="s">
        <v>54</v>
      </c>
      <c r="H49" s="13" t="s">
        <v>60</v>
      </c>
      <c r="I49" s="9" t="s">
        <v>224</v>
      </c>
      <c r="J49" s="13">
        <v>5</v>
      </c>
      <c r="K49" s="13" t="s">
        <v>42</v>
      </c>
      <c r="L49" s="13" t="s">
        <v>52</v>
      </c>
      <c r="M49" s="13">
        <v>42</v>
      </c>
      <c r="N49" s="6">
        <f>(40*C58)+2*(C58+C58/2)</f>
        <v>207.69</v>
      </c>
      <c r="R49" s="14">
        <f t="shared" ca="1" si="8"/>
        <v>47.389041095890413</v>
      </c>
    </row>
    <row r="50" spans="1:18" s="5" customFormat="1" ht="25.5" x14ac:dyDescent="0.2">
      <c r="A50" s="13" t="s">
        <v>192</v>
      </c>
      <c r="B50" s="13" t="s">
        <v>193</v>
      </c>
      <c r="C50" s="12">
        <v>22549</v>
      </c>
      <c r="D50" s="4">
        <f t="shared" ca="1" si="9"/>
        <v>58</v>
      </c>
      <c r="E50" s="13" t="s">
        <v>68</v>
      </c>
      <c r="F50" s="15" t="s">
        <v>79</v>
      </c>
      <c r="G50" s="13" t="s">
        <v>56</v>
      </c>
      <c r="H50" s="13" t="s">
        <v>61</v>
      </c>
      <c r="I50" s="9" t="s">
        <v>225</v>
      </c>
      <c r="J50" s="13">
        <v>2</v>
      </c>
      <c r="K50" s="13" t="s">
        <v>42</v>
      </c>
      <c r="L50" s="13" t="s">
        <v>52</v>
      </c>
      <c r="M50" s="13">
        <v>37</v>
      </c>
      <c r="N50" s="6">
        <f>M50*C58</f>
        <v>178.71</v>
      </c>
      <c r="R50" s="14">
        <f t="shared" ca="1" si="8"/>
        <v>58.515068493150686</v>
      </c>
    </row>
    <row r="51" spans="1:18" s="5" customFormat="1" ht="25.5" x14ac:dyDescent="0.2">
      <c r="A51" s="13" t="s">
        <v>194</v>
      </c>
      <c r="B51" s="13" t="s">
        <v>195</v>
      </c>
      <c r="C51" s="12">
        <v>21148</v>
      </c>
      <c r="D51" s="4">
        <f t="shared" ca="1" si="9"/>
        <v>62</v>
      </c>
      <c r="E51" s="13" t="s">
        <v>68</v>
      </c>
      <c r="F51" s="15" t="s">
        <v>79</v>
      </c>
      <c r="G51" s="13" t="s">
        <v>55</v>
      </c>
      <c r="H51" s="13" t="s">
        <v>61</v>
      </c>
      <c r="I51" s="9" t="s">
        <v>226</v>
      </c>
      <c r="J51" s="13">
        <v>9</v>
      </c>
      <c r="K51" s="13" t="s">
        <v>43</v>
      </c>
      <c r="L51" s="13" t="s">
        <v>52</v>
      </c>
      <c r="M51" s="13">
        <v>12</v>
      </c>
      <c r="N51" s="6">
        <f>M51*C57</f>
        <v>69.599999999999994</v>
      </c>
      <c r="R51" s="14">
        <f t="shared" ca="1" si="8"/>
        <v>62.353424657534248</v>
      </c>
    </row>
    <row r="52" spans="1:18" s="5" customFormat="1" ht="25.5" x14ac:dyDescent="0.2">
      <c r="A52" s="13" t="s">
        <v>196</v>
      </c>
      <c r="B52" s="13" t="s">
        <v>197</v>
      </c>
      <c r="C52" s="12">
        <v>34694</v>
      </c>
      <c r="D52" s="4">
        <f t="shared" ca="1" si="9"/>
        <v>25</v>
      </c>
      <c r="E52" s="13" t="s">
        <v>68</v>
      </c>
      <c r="F52" s="15" t="s">
        <v>79</v>
      </c>
      <c r="G52" s="13" t="s">
        <v>59</v>
      </c>
      <c r="H52" s="13" t="s">
        <v>60</v>
      </c>
      <c r="I52" s="9" t="s">
        <v>227</v>
      </c>
      <c r="J52" s="13">
        <v>0</v>
      </c>
      <c r="K52" s="13" t="s">
        <v>43</v>
      </c>
      <c r="L52" s="13" t="s">
        <v>53</v>
      </c>
      <c r="M52" s="13">
        <v>15</v>
      </c>
      <c r="N52" s="6">
        <f>M52*C57</f>
        <v>87</v>
      </c>
      <c r="R52" s="14">
        <f t="shared" ca="1" si="8"/>
        <v>25.241095890410961</v>
      </c>
    </row>
    <row r="53" spans="1:18" s="5" customFormat="1" ht="25.5" x14ac:dyDescent="0.2">
      <c r="A53" s="13" t="s">
        <v>202</v>
      </c>
      <c r="B53" s="13" t="s">
        <v>203</v>
      </c>
      <c r="C53" s="12">
        <v>30635</v>
      </c>
      <c r="D53" s="4">
        <f t="shared" ca="1" si="9"/>
        <v>36</v>
      </c>
      <c r="E53" s="13" t="s">
        <v>67</v>
      </c>
      <c r="F53" s="15" t="s">
        <v>79</v>
      </c>
      <c r="G53" s="13" t="s">
        <v>54</v>
      </c>
      <c r="H53" s="13" t="s">
        <v>60</v>
      </c>
      <c r="I53" s="9" t="s">
        <v>228</v>
      </c>
      <c r="J53" s="13">
        <v>3</v>
      </c>
      <c r="K53" s="13" t="s">
        <v>43</v>
      </c>
      <c r="L53" s="13" t="s">
        <v>52</v>
      </c>
      <c r="M53" s="13">
        <v>15</v>
      </c>
      <c r="N53" s="6">
        <f>M53*C57</f>
        <v>87</v>
      </c>
      <c r="R53" s="14">
        <f t="shared" ca="1" si="8"/>
        <v>36.361643835616441</v>
      </c>
    </row>
    <row r="54" spans="1:18" s="5" customFormat="1" ht="25.5" x14ac:dyDescent="0.2">
      <c r="A54" s="13" t="s">
        <v>198</v>
      </c>
      <c r="B54" s="13" t="s">
        <v>199</v>
      </c>
      <c r="C54" s="12">
        <v>33539</v>
      </c>
      <c r="D54" s="4">
        <f t="shared" ca="1" si="9"/>
        <v>28</v>
      </c>
      <c r="E54" s="13" t="s">
        <v>68</v>
      </c>
      <c r="F54" s="15" t="s">
        <v>79</v>
      </c>
      <c r="G54" s="13" t="s">
        <v>45</v>
      </c>
      <c r="H54" s="13" t="s">
        <v>61</v>
      </c>
      <c r="I54" s="9" t="s">
        <v>229</v>
      </c>
      <c r="J54" s="13">
        <v>1</v>
      </c>
      <c r="K54" s="13" t="s">
        <v>42</v>
      </c>
      <c r="L54" s="13" t="s">
        <v>52</v>
      </c>
      <c r="M54" s="13">
        <v>50</v>
      </c>
      <c r="N54" s="6">
        <f>(40*C58)+10*(C58+C58/2)</f>
        <v>265.64999999999998</v>
      </c>
      <c r="R54" s="13">
        <f t="shared" ca="1" si="8"/>
        <v>28.405479452054795</v>
      </c>
    </row>
    <row r="55" spans="1:18" s="5" customFormat="1" x14ac:dyDescent="0.2"/>
    <row r="56" spans="1:18" s="5" customFormat="1" ht="12.75" customHeight="1" x14ac:dyDescent="0.2">
      <c r="C56" s="110" t="s">
        <v>65</v>
      </c>
      <c r="D56" s="111"/>
      <c r="F56" s="112" t="s">
        <v>81</v>
      </c>
      <c r="G56" s="113"/>
      <c r="H56" s="114"/>
      <c r="M56" s="112" t="s">
        <v>66</v>
      </c>
      <c r="N56" s="114"/>
      <c r="O56" s="17"/>
    </row>
    <row r="57" spans="1:18" s="5" customFormat="1" x14ac:dyDescent="0.2">
      <c r="C57" s="7">
        <v>5.8</v>
      </c>
      <c r="D57" s="8">
        <v>22</v>
      </c>
    </row>
    <row r="58" spans="1:18" s="5" customFormat="1" x14ac:dyDescent="0.2">
      <c r="C58" s="7">
        <v>4.83</v>
      </c>
      <c r="D58" s="8" t="s">
        <v>63</v>
      </c>
    </row>
    <row r="59" spans="1:18" s="5" customFormat="1" x14ac:dyDescent="0.2">
      <c r="C59" s="7">
        <v>3.57</v>
      </c>
      <c r="D59" s="8" t="s">
        <v>64</v>
      </c>
    </row>
    <row r="60" spans="1:18" s="5" customFormat="1" x14ac:dyDescent="0.2"/>
    <row r="61" spans="1:18" s="5" customFormat="1" x14ac:dyDescent="0.2"/>
    <row r="62" spans="1:18" s="5" customFormat="1" x14ac:dyDescent="0.2"/>
    <row r="63" spans="1:18" s="5" customFormat="1" x14ac:dyDescent="0.2"/>
    <row r="64" spans="1:18"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row r="72" s="5" customFormat="1" x14ac:dyDescent="0.2"/>
    <row r="73" s="5" customFormat="1" x14ac:dyDescent="0.2"/>
    <row r="74" s="5" customFormat="1" x14ac:dyDescent="0.2"/>
    <row r="75" s="5" customFormat="1" x14ac:dyDescent="0.2"/>
    <row r="76" s="5" customFormat="1" x14ac:dyDescent="0.2"/>
    <row r="77" s="5" customFormat="1" x14ac:dyDescent="0.2"/>
    <row r="78" s="5" customFormat="1" x14ac:dyDescent="0.2"/>
    <row r="79" s="5" customFormat="1" x14ac:dyDescent="0.2"/>
    <row r="80" s="5" customFormat="1" x14ac:dyDescent="0.2"/>
  </sheetData>
  <mergeCells count="6">
    <mergeCell ref="G1:K1"/>
    <mergeCell ref="K3:N3"/>
    <mergeCell ref="B38:D38"/>
    <mergeCell ref="C56:D56"/>
    <mergeCell ref="F56:H56"/>
    <mergeCell ref="M56:N56"/>
  </mergeCells>
  <dataValidations disablePrompts="1" count="1">
    <dataValidation type="list" allowBlank="1" showInputMessage="1" showErrorMessage="1" sqref="C24:C34">
      <formula1>$C$24:$C$35</formula1>
    </dataValidation>
  </dataValidations>
  <pageMargins left="0.31496062992125984" right="0.19685039370078741" top="0.59055118110236227" bottom="0.6692913385826772" header="0.31496062992125984" footer="0.31496062992125984"/>
  <pageSetup paperSize="9" scale="57" fitToHeight="2" orientation="landscape" horizontalDpi="4294967294" r:id="rId1"/>
  <headerFooter>
    <oddHeader>&amp;CBTEC 1st IT for Practititioners
Assessment - Spreadsheets</oddHeader>
    <oddFooter>&amp;LDan Gurr
&amp;D&amp;CPage &amp;P of &amp;N&amp;R&amp;F
&amp;A</oddFooter>
  </headerFooter>
  <rowBreaks count="1" manualBreakCount="1">
    <brk id="22" max="17"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80"/>
  <sheetViews>
    <sheetView topLeftCell="A22" zoomScale="85" zoomScaleNormal="85" workbookViewId="0">
      <selection activeCell="N48" sqref="N48:N54"/>
    </sheetView>
  </sheetViews>
  <sheetFormatPr defaultRowHeight="12.75" x14ac:dyDescent="0.2"/>
  <cols>
    <col min="1" max="1" width="18.28515625" bestFit="1" customWidth="1"/>
    <col min="2" max="2" width="14.5703125" bestFit="1" customWidth="1"/>
    <col min="3" max="3" width="14.85546875" bestFit="1" customWidth="1"/>
    <col min="4" max="4" width="14.140625" bestFit="1" customWidth="1"/>
    <col min="5" max="5" width="17.140625" customWidth="1"/>
    <col min="6" max="6" width="17.42578125" bestFit="1" customWidth="1"/>
    <col min="7" max="7" width="14.85546875" bestFit="1" customWidth="1"/>
    <col min="8" max="8" width="14.28515625" bestFit="1" customWidth="1"/>
    <col min="9" max="9" width="16.5703125" bestFit="1" customWidth="1"/>
    <col min="10" max="10" width="19.140625" bestFit="1" customWidth="1"/>
    <col min="11" max="12" width="13.28515625" bestFit="1" customWidth="1"/>
    <col min="13" max="13" width="15.7109375" bestFit="1" customWidth="1"/>
    <col min="14" max="14" width="14" customWidth="1"/>
    <col min="15" max="15" width="8.7109375" customWidth="1"/>
  </cols>
  <sheetData>
    <row r="1" spans="1:18" ht="31.5" customHeight="1" x14ac:dyDescent="0.25">
      <c r="A1" s="1"/>
      <c r="G1" s="115" t="s">
        <v>138</v>
      </c>
      <c r="H1" s="115"/>
      <c r="I1" s="115"/>
      <c r="J1" s="115"/>
      <c r="K1" s="115"/>
    </row>
    <row r="2" spans="1:18" ht="15.75" x14ac:dyDescent="0.25">
      <c r="A2" s="1"/>
      <c r="E2" s="2"/>
      <c r="F2" s="2"/>
      <c r="G2" s="2"/>
      <c r="H2" s="2"/>
      <c r="I2" s="2"/>
      <c r="J2" s="2"/>
      <c r="K2" s="2"/>
    </row>
    <row r="3" spans="1:18" ht="15" customHeight="1" x14ac:dyDescent="0.25">
      <c r="A3" s="21">
        <v>2010</v>
      </c>
      <c r="B3" s="20"/>
      <c r="C3" s="20"/>
      <c r="D3" s="20"/>
      <c r="E3" s="20"/>
      <c r="F3" s="20"/>
      <c r="G3" s="20"/>
      <c r="H3" s="20"/>
      <c r="I3" s="20"/>
      <c r="J3" s="20"/>
      <c r="K3" s="116" t="s">
        <v>128</v>
      </c>
      <c r="L3" s="117"/>
      <c r="M3" s="117"/>
      <c r="N3" s="117"/>
      <c r="O3" s="20"/>
      <c r="P3" s="20"/>
      <c r="Q3" s="20"/>
      <c r="R3" s="20"/>
    </row>
    <row r="4" spans="1:18" s="3" customFormat="1" ht="40.5" customHeight="1" x14ac:dyDescent="0.2">
      <c r="A4" s="22" t="s">
        <v>107</v>
      </c>
      <c r="B4" s="23" t="s">
        <v>0</v>
      </c>
      <c r="C4" s="23" t="s">
        <v>1</v>
      </c>
      <c r="D4" s="23" t="s">
        <v>2</v>
      </c>
      <c r="E4" s="23" t="s">
        <v>3</v>
      </c>
      <c r="F4" s="23" t="s">
        <v>4</v>
      </c>
      <c r="G4" s="24" t="s">
        <v>5</v>
      </c>
      <c r="H4" s="24" t="s">
        <v>6</v>
      </c>
      <c r="I4" s="24" t="s">
        <v>7</v>
      </c>
      <c r="J4" s="24" t="s">
        <v>8</v>
      </c>
      <c r="K4" s="24" t="s">
        <v>9</v>
      </c>
      <c r="L4" s="24" t="s">
        <v>10</v>
      </c>
      <c r="M4" s="24" t="s">
        <v>11</v>
      </c>
      <c r="N4" s="25" t="s">
        <v>12</v>
      </c>
      <c r="O4" s="25" t="s">
        <v>13</v>
      </c>
      <c r="P4" s="25" t="s">
        <v>27</v>
      </c>
      <c r="Q4" s="25" t="s">
        <v>28</v>
      </c>
      <c r="R4" s="26"/>
    </row>
    <row r="5" spans="1:18" s="5" customFormat="1" x14ac:dyDescent="0.2">
      <c r="A5" s="27" t="s">
        <v>14</v>
      </c>
      <c r="B5" s="28">
        <v>275</v>
      </c>
      <c r="C5" s="28">
        <v>325</v>
      </c>
      <c r="D5" s="28">
        <v>375</v>
      </c>
      <c r="E5" s="28">
        <v>425</v>
      </c>
      <c r="F5" s="28">
        <v>475</v>
      </c>
      <c r="G5" s="28">
        <v>525</v>
      </c>
      <c r="H5" s="28">
        <v>575</v>
      </c>
      <c r="I5" s="28">
        <v>625</v>
      </c>
      <c r="J5" s="28">
        <v>675</v>
      </c>
      <c r="K5" s="29">
        <f t="shared" ref="K5:L16" si="0">J5+(J5*10/100)</f>
        <v>742.5</v>
      </c>
      <c r="L5" s="29">
        <f t="shared" si="0"/>
        <v>816.75</v>
      </c>
      <c r="M5" s="29">
        <f t="shared" ref="M5:M16" si="1">L5+(L5*30/100)</f>
        <v>1061.7750000000001</v>
      </c>
      <c r="N5" s="60">
        <f t="shared" ref="N5:N16" si="2">SUM(B5:M5)</f>
        <v>6896.0249999999996</v>
      </c>
      <c r="O5" s="60">
        <f t="shared" ref="O5:O16" si="3">AVERAGE(B5:M5)</f>
        <v>574.66874999999993</v>
      </c>
      <c r="P5" s="28">
        <f t="shared" ref="P5:P16" si="4">MIN(B5:M5)</f>
        <v>275</v>
      </c>
      <c r="Q5" s="28">
        <f t="shared" ref="Q5:Q16" si="5">MAX(B5:M5)</f>
        <v>1061.7750000000001</v>
      </c>
      <c r="R5" s="30"/>
    </row>
    <row r="6" spans="1:18" s="5" customFormat="1" x14ac:dyDescent="0.2">
      <c r="A6" s="27" t="s">
        <v>16</v>
      </c>
      <c r="B6" s="28">
        <v>375</v>
      </c>
      <c r="C6" s="28">
        <v>395</v>
      </c>
      <c r="D6" s="28">
        <v>415</v>
      </c>
      <c r="E6" s="28">
        <v>405</v>
      </c>
      <c r="F6" s="28">
        <v>395</v>
      </c>
      <c r="G6" s="28">
        <v>385</v>
      </c>
      <c r="H6" s="28">
        <v>375</v>
      </c>
      <c r="I6" s="28">
        <v>365</v>
      </c>
      <c r="J6" s="28">
        <v>355</v>
      </c>
      <c r="K6" s="29">
        <f t="shared" si="0"/>
        <v>390.5</v>
      </c>
      <c r="L6" s="29">
        <f t="shared" si="0"/>
        <v>429.55</v>
      </c>
      <c r="M6" s="29">
        <f t="shared" si="1"/>
        <v>558.41499999999996</v>
      </c>
      <c r="N6" s="60">
        <f t="shared" si="2"/>
        <v>4843.4650000000001</v>
      </c>
      <c r="O6" s="60">
        <f t="shared" si="3"/>
        <v>403.62208333333336</v>
      </c>
      <c r="P6" s="28">
        <f t="shared" si="4"/>
        <v>355</v>
      </c>
      <c r="Q6" s="28">
        <f t="shared" si="5"/>
        <v>558.41499999999996</v>
      </c>
      <c r="R6" s="30"/>
    </row>
    <row r="7" spans="1:18" s="5" customFormat="1" x14ac:dyDescent="0.2">
      <c r="A7" s="27" t="s">
        <v>17</v>
      </c>
      <c r="B7" s="28">
        <v>175</v>
      </c>
      <c r="C7" s="28">
        <v>225</v>
      </c>
      <c r="D7" s="28">
        <v>275</v>
      </c>
      <c r="E7" s="28">
        <v>325</v>
      </c>
      <c r="F7" s="28">
        <v>375</v>
      </c>
      <c r="G7" s="28">
        <v>425</v>
      </c>
      <c r="H7" s="28">
        <v>475</v>
      </c>
      <c r="I7" s="28">
        <v>525</v>
      </c>
      <c r="J7" s="28">
        <v>575</v>
      </c>
      <c r="K7" s="29">
        <f t="shared" si="0"/>
        <v>632.5</v>
      </c>
      <c r="L7" s="29">
        <f t="shared" si="0"/>
        <v>695.75</v>
      </c>
      <c r="M7" s="29">
        <f t="shared" si="1"/>
        <v>904.47500000000002</v>
      </c>
      <c r="N7" s="60">
        <f t="shared" si="2"/>
        <v>5607.7250000000004</v>
      </c>
      <c r="O7" s="60">
        <f t="shared" si="3"/>
        <v>467.3104166666667</v>
      </c>
      <c r="P7" s="28">
        <f t="shared" si="4"/>
        <v>175</v>
      </c>
      <c r="Q7" s="28">
        <f t="shared" si="5"/>
        <v>904.47500000000002</v>
      </c>
      <c r="R7" s="30"/>
    </row>
    <row r="8" spans="1:18" s="5" customFormat="1" x14ac:dyDescent="0.2">
      <c r="A8" s="31" t="s">
        <v>15</v>
      </c>
      <c r="B8" s="28">
        <v>475</v>
      </c>
      <c r="C8" s="28">
        <v>515</v>
      </c>
      <c r="D8" s="28">
        <v>555</v>
      </c>
      <c r="E8" s="28">
        <v>595</v>
      </c>
      <c r="F8" s="28">
        <v>635</v>
      </c>
      <c r="G8" s="28">
        <v>675</v>
      </c>
      <c r="H8" s="28">
        <v>715</v>
      </c>
      <c r="I8" s="28">
        <v>755</v>
      </c>
      <c r="J8" s="28">
        <v>795</v>
      </c>
      <c r="K8" s="29">
        <f t="shared" si="0"/>
        <v>874.5</v>
      </c>
      <c r="L8" s="29">
        <f t="shared" si="0"/>
        <v>961.95</v>
      </c>
      <c r="M8" s="29">
        <f t="shared" si="1"/>
        <v>1250.5350000000001</v>
      </c>
      <c r="N8" s="60">
        <f t="shared" si="2"/>
        <v>8801.9850000000006</v>
      </c>
      <c r="O8" s="60">
        <f t="shared" si="3"/>
        <v>733.49875000000009</v>
      </c>
      <c r="P8" s="28">
        <f t="shared" si="4"/>
        <v>475</v>
      </c>
      <c r="Q8" s="28">
        <f t="shared" si="5"/>
        <v>1250.5350000000001</v>
      </c>
      <c r="R8" s="30"/>
    </row>
    <row r="9" spans="1:18" s="5" customFormat="1" x14ac:dyDescent="0.2">
      <c r="A9" s="31" t="s">
        <v>18</v>
      </c>
      <c r="B9" s="28">
        <v>275</v>
      </c>
      <c r="C9" s="28">
        <v>295</v>
      </c>
      <c r="D9" s="28">
        <v>315</v>
      </c>
      <c r="E9" s="28">
        <v>335</v>
      </c>
      <c r="F9" s="28">
        <v>355</v>
      </c>
      <c r="G9" s="28">
        <v>425</v>
      </c>
      <c r="H9" s="28">
        <v>395</v>
      </c>
      <c r="I9" s="28">
        <v>415</v>
      </c>
      <c r="J9" s="28">
        <v>435</v>
      </c>
      <c r="K9" s="29">
        <f t="shared" si="0"/>
        <v>478.5</v>
      </c>
      <c r="L9" s="29">
        <f t="shared" si="0"/>
        <v>526.35</v>
      </c>
      <c r="M9" s="29">
        <f t="shared" si="1"/>
        <v>684.255</v>
      </c>
      <c r="N9" s="60">
        <f t="shared" si="2"/>
        <v>4934.1050000000005</v>
      </c>
      <c r="O9" s="60">
        <f t="shared" si="3"/>
        <v>411.17541666666671</v>
      </c>
      <c r="P9" s="28">
        <f t="shared" si="4"/>
        <v>275</v>
      </c>
      <c r="Q9" s="28">
        <f t="shared" si="5"/>
        <v>684.255</v>
      </c>
      <c r="R9" s="30"/>
    </row>
    <row r="10" spans="1:18" s="5" customFormat="1" x14ac:dyDescent="0.2">
      <c r="A10" s="31" t="s">
        <v>19</v>
      </c>
      <c r="B10" s="28">
        <v>375</v>
      </c>
      <c r="C10" s="28">
        <v>385</v>
      </c>
      <c r="D10" s="28">
        <v>395</v>
      </c>
      <c r="E10" s="28">
        <v>405</v>
      </c>
      <c r="F10" s="28">
        <v>415</v>
      </c>
      <c r="G10" s="28">
        <v>425</v>
      </c>
      <c r="H10" s="28">
        <v>435</v>
      </c>
      <c r="I10" s="28">
        <v>445</v>
      </c>
      <c r="J10" s="28">
        <v>455</v>
      </c>
      <c r="K10" s="29">
        <f t="shared" si="0"/>
        <v>500.5</v>
      </c>
      <c r="L10" s="29">
        <f t="shared" si="0"/>
        <v>550.54999999999995</v>
      </c>
      <c r="M10" s="29">
        <f t="shared" si="1"/>
        <v>715.71499999999992</v>
      </c>
      <c r="N10" s="60">
        <f t="shared" si="2"/>
        <v>5501.7650000000003</v>
      </c>
      <c r="O10" s="60">
        <f t="shared" si="3"/>
        <v>458.48041666666671</v>
      </c>
      <c r="P10" s="28">
        <f t="shared" si="4"/>
        <v>375</v>
      </c>
      <c r="Q10" s="28">
        <f t="shared" si="5"/>
        <v>715.71499999999992</v>
      </c>
      <c r="R10" s="30"/>
    </row>
    <row r="11" spans="1:18" s="5" customFormat="1" x14ac:dyDescent="0.2">
      <c r="A11" s="32" t="s">
        <v>20</v>
      </c>
      <c r="B11" s="28">
        <v>575</v>
      </c>
      <c r="C11" s="28">
        <v>565</v>
      </c>
      <c r="D11" s="28">
        <v>555</v>
      </c>
      <c r="E11" s="28">
        <v>545</v>
      </c>
      <c r="F11" s="28">
        <v>535</v>
      </c>
      <c r="G11" s="28">
        <v>525</v>
      </c>
      <c r="H11" s="28">
        <v>515</v>
      </c>
      <c r="I11" s="28">
        <v>505</v>
      </c>
      <c r="J11" s="28">
        <v>495</v>
      </c>
      <c r="K11" s="29">
        <f t="shared" si="0"/>
        <v>544.5</v>
      </c>
      <c r="L11" s="29">
        <f t="shared" si="0"/>
        <v>598.95000000000005</v>
      </c>
      <c r="M11" s="29">
        <f t="shared" si="1"/>
        <v>778.63499999999999</v>
      </c>
      <c r="N11" s="60">
        <f t="shared" si="2"/>
        <v>6737.085</v>
      </c>
      <c r="O11" s="60">
        <f t="shared" si="3"/>
        <v>561.42375000000004</v>
      </c>
      <c r="P11" s="28">
        <f t="shared" si="4"/>
        <v>495</v>
      </c>
      <c r="Q11" s="28">
        <f t="shared" si="5"/>
        <v>778.63499999999999</v>
      </c>
      <c r="R11" s="30"/>
    </row>
    <row r="12" spans="1:18" s="5" customFormat="1" x14ac:dyDescent="0.2">
      <c r="A12" s="32" t="s">
        <v>21</v>
      </c>
      <c r="B12" s="28">
        <v>775</v>
      </c>
      <c r="C12" s="28">
        <v>815</v>
      </c>
      <c r="D12" s="28">
        <v>855</v>
      </c>
      <c r="E12" s="28">
        <v>895</v>
      </c>
      <c r="F12" s="28">
        <v>935</v>
      </c>
      <c r="G12" s="28">
        <v>875</v>
      </c>
      <c r="H12" s="28">
        <v>1015</v>
      </c>
      <c r="I12" s="28">
        <v>1055</v>
      </c>
      <c r="J12" s="28">
        <v>1095</v>
      </c>
      <c r="K12" s="29">
        <f t="shared" si="0"/>
        <v>1204.5</v>
      </c>
      <c r="L12" s="29">
        <f t="shared" si="0"/>
        <v>1324.95</v>
      </c>
      <c r="M12" s="29">
        <f t="shared" si="1"/>
        <v>1722.4349999999999</v>
      </c>
      <c r="N12" s="60">
        <f t="shared" si="2"/>
        <v>12566.885</v>
      </c>
      <c r="O12" s="60">
        <f t="shared" si="3"/>
        <v>1047.2404166666668</v>
      </c>
      <c r="P12" s="28">
        <f t="shared" si="4"/>
        <v>775</v>
      </c>
      <c r="Q12" s="28">
        <f t="shared" si="5"/>
        <v>1722.4349999999999</v>
      </c>
      <c r="R12" s="30"/>
    </row>
    <row r="13" spans="1:18" s="5" customFormat="1" x14ac:dyDescent="0.2">
      <c r="A13" s="32" t="s">
        <v>22</v>
      </c>
      <c r="B13" s="28">
        <v>475</v>
      </c>
      <c r="C13" s="28">
        <v>485</v>
      </c>
      <c r="D13" s="28">
        <v>495</v>
      </c>
      <c r="E13" s="28">
        <v>505</v>
      </c>
      <c r="F13" s="28">
        <v>515</v>
      </c>
      <c r="G13" s="28">
        <v>525</v>
      </c>
      <c r="H13" s="28">
        <v>535</v>
      </c>
      <c r="I13" s="28">
        <v>545</v>
      </c>
      <c r="J13" s="28">
        <v>555</v>
      </c>
      <c r="K13" s="29">
        <f t="shared" si="0"/>
        <v>610.5</v>
      </c>
      <c r="L13" s="29">
        <f t="shared" si="0"/>
        <v>671.55</v>
      </c>
      <c r="M13" s="29">
        <f t="shared" si="1"/>
        <v>873.01499999999999</v>
      </c>
      <c r="N13" s="60">
        <f t="shared" si="2"/>
        <v>6790.0650000000005</v>
      </c>
      <c r="O13" s="60">
        <f t="shared" si="3"/>
        <v>565.83875</v>
      </c>
      <c r="P13" s="28">
        <f t="shared" si="4"/>
        <v>475</v>
      </c>
      <c r="Q13" s="28">
        <f t="shared" si="5"/>
        <v>873.01499999999999</v>
      </c>
      <c r="R13" s="30"/>
    </row>
    <row r="14" spans="1:18" s="5" customFormat="1" x14ac:dyDescent="0.2">
      <c r="A14" s="33" t="s">
        <v>23</v>
      </c>
      <c r="B14" s="28">
        <v>175</v>
      </c>
      <c r="C14" s="28">
        <v>205</v>
      </c>
      <c r="D14" s="28">
        <v>235</v>
      </c>
      <c r="E14" s="28">
        <v>265</v>
      </c>
      <c r="F14" s="28">
        <v>295</v>
      </c>
      <c r="G14" s="28">
        <v>325</v>
      </c>
      <c r="H14" s="28">
        <v>355</v>
      </c>
      <c r="I14" s="28">
        <v>385</v>
      </c>
      <c r="J14" s="28">
        <v>415</v>
      </c>
      <c r="K14" s="29">
        <f t="shared" si="0"/>
        <v>456.5</v>
      </c>
      <c r="L14" s="29">
        <f t="shared" si="0"/>
        <v>502.15</v>
      </c>
      <c r="M14" s="29">
        <f t="shared" si="1"/>
        <v>652.79499999999996</v>
      </c>
      <c r="N14" s="60">
        <f t="shared" si="2"/>
        <v>4266.4449999999997</v>
      </c>
      <c r="O14" s="60">
        <f t="shared" si="3"/>
        <v>355.53708333333333</v>
      </c>
      <c r="P14" s="28">
        <f t="shared" si="4"/>
        <v>175</v>
      </c>
      <c r="Q14" s="28">
        <f t="shared" si="5"/>
        <v>652.79499999999996</v>
      </c>
      <c r="R14" s="30"/>
    </row>
    <row r="15" spans="1:18" s="5" customFormat="1" x14ac:dyDescent="0.2">
      <c r="A15" s="33" t="s">
        <v>24</v>
      </c>
      <c r="B15" s="28">
        <v>225</v>
      </c>
      <c r="C15" s="28">
        <v>235</v>
      </c>
      <c r="D15" s="28">
        <v>245</v>
      </c>
      <c r="E15" s="28">
        <v>255</v>
      </c>
      <c r="F15" s="28">
        <v>265</v>
      </c>
      <c r="G15" s="28">
        <v>275</v>
      </c>
      <c r="H15" s="28">
        <v>285</v>
      </c>
      <c r="I15" s="28">
        <v>295</v>
      </c>
      <c r="J15" s="28">
        <v>305</v>
      </c>
      <c r="K15" s="29">
        <f t="shared" si="0"/>
        <v>335.5</v>
      </c>
      <c r="L15" s="29">
        <f t="shared" si="0"/>
        <v>369.05</v>
      </c>
      <c r="M15" s="29">
        <f t="shared" si="1"/>
        <v>479.76499999999999</v>
      </c>
      <c r="N15" s="60">
        <f t="shared" si="2"/>
        <v>3569.3150000000001</v>
      </c>
      <c r="O15" s="60">
        <f t="shared" si="3"/>
        <v>297.44291666666669</v>
      </c>
      <c r="P15" s="28">
        <f t="shared" si="4"/>
        <v>225</v>
      </c>
      <c r="Q15" s="28">
        <f t="shared" si="5"/>
        <v>479.76499999999999</v>
      </c>
      <c r="R15" s="30"/>
    </row>
    <row r="16" spans="1:18" s="5" customFormat="1" x14ac:dyDescent="0.2">
      <c r="A16" s="33" t="s">
        <v>25</v>
      </c>
      <c r="B16" s="28">
        <v>125</v>
      </c>
      <c r="C16" s="28">
        <v>115</v>
      </c>
      <c r="D16" s="28">
        <v>105</v>
      </c>
      <c r="E16" s="28">
        <v>95</v>
      </c>
      <c r="F16" s="28">
        <v>85</v>
      </c>
      <c r="G16" s="28">
        <v>75</v>
      </c>
      <c r="H16" s="28">
        <v>65</v>
      </c>
      <c r="I16" s="28">
        <v>55</v>
      </c>
      <c r="J16" s="28">
        <v>75</v>
      </c>
      <c r="K16" s="29">
        <f t="shared" si="0"/>
        <v>82.5</v>
      </c>
      <c r="L16" s="29">
        <f t="shared" si="0"/>
        <v>90.75</v>
      </c>
      <c r="M16" s="29">
        <f t="shared" si="1"/>
        <v>117.97499999999999</v>
      </c>
      <c r="N16" s="60">
        <f t="shared" si="2"/>
        <v>1086.2249999999999</v>
      </c>
      <c r="O16" s="60">
        <f t="shared" si="3"/>
        <v>90.518749999999997</v>
      </c>
      <c r="P16" s="28">
        <f t="shared" si="4"/>
        <v>55</v>
      </c>
      <c r="Q16" s="28">
        <f t="shared" si="5"/>
        <v>125</v>
      </c>
      <c r="R16" s="30"/>
    </row>
    <row r="17" spans="1:24" s="5" customFormat="1" ht="25.5" hidden="1" x14ac:dyDescent="0.2">
      <c r="A17" s="34" t="s">
        <v>109</v>
      </c>
      <c r="B17" s="28">
        <v>3700</v>
      </c>
      <c r="C17" s="28">
        <v>4200</v>
      </c>
      <c r="D17" s="28">
        <v>4450</v>
      </c>
      <c r="E17" s="28">
        <v>4700</v>
      </c>
      <c r="F17" s="28">
        <v>5200</v>
      </c>
      <c r="G17" s="28">
        <v>5700</v>
      </c>
      <c r="H17" s="28">
        <v>6000</v>
      </c>
      <c r="I17" s="28">
        <v>6200</v>
      </c>
      <c r="J17" s="28">
        <v>6700</v>
      </c>
      <c r="K17" s="28">
        <f t="shared" ref="K17:Q17" si="6">SUM(K5:K16)</f>
        <v>6853</v>
      </c>
      <c r="L17" s="28">
        <f t="shared" si="6"/>
        <v>7538.2999999999993</v>
      </c>
      <c r="M17" s="28">
        <f t="shared" si="6"/>
        <v>9799.7899999999991</v>
      </c>
      <c r="N17" s="28">
        <f t="shared" si="6"/>
        <v>71601.090000000011</v>
      </c>
      <c r="O17" s="28">
        <f t="shared" si="6"/>
        <v>5966.7575000000006</v>
      </c>
      <c r="P17" s="28">
        <f t="shared" si="6"/>
        <v>4130</v>
      </c>
      <c r="Q17" s="28">
        <f t="shared" si="6"/>
        <v>9806.8149999999987</v>
      </c>
      <c r="R17" s="30"/>
    </row>
    <row r="18" spans="1:24" s="5" customFormat="1" ht="25.5" x14ac:dyDescent="0.2">
      <c r="A18" s="69" t="s">
        <v>83</v>
      </c>
      <c r="B18" s="64">
        <v>9250</v>
      </c>
      <c r="C18" s="64">
        <v>10250</v>
      </c>
      <c r="D18" s="64">
        <v>12250</v>
      </c>
      <c r="E18" s="64">
        <v>13250</v>
      </c>
      <c r="F18" s="64">
        <v>14250</v>
      </c>
      <c r="G18" s="64">
        <v>15250</v>
      </c>
      <c r="H18" s="69">
        <v>15750</v>
      </c>
      <c r="I18" s="64">
        <v>16250</v>
      </c>
      <c r="J18" s="64">
        <v>17250</v>
      </c>
      <c r="K18" s="64">
        <f>J18+(J18*10/100)</f>
        <v>18975</v>
      </c>
      <c r="L18" s="64">
        <f>K18+(K18*10/100)</f>
        <v>20872.5</v>
      </c>
      <c r="M18" s="64">
        <f>L18+(L18*30/100)</f>
        <v>27134.25</v>
      </c>
      <c r="N18" s="36"/>
      <c r="O18" s="36"/>
      <c r="P18" s="36"/>
      <c r="Q18" s="36"/>
      <c r="R18" s="30"/>
    </row>
    <row r="19" spans="1:24" s="5" customFormat="1" ht="63" customHeight="1" x14ac:dyDescent="0.2">
      <c r="A19" s="70" t="s">
        <v>133</v>
      </c>
      <c r="B19" s="65">
        <v>10000</v>
      </c>
      <c r="C19" s="65">
        <v>11000</v>
      </c>
      <c r="D19" s="65">
        <v>13000</v>
      </c>
      <c r="E19" s="65">
        <v>14000</v>
      </c>
      <c r="F19" s="65">
        <v>15000</v>
      </c>
      <c r="G19" s="65">
        <v>16000</v>
      </c>
      <c r="H19" s="65">
        <v>16500</v>
      </c>
      <c r="I19" s="65">
        <v>17000</v>
      </c>
      <c r="J19" s="65">
        <v>18000</v>
      </c>
      <c r="K19" s="66">
        <v>20000</v>
      </c>
      <c r="L19" s="65">
        <v>22000</v>
      </c>
      <c r="M19" s="65">
        <v>28000</v>
      </c>
      <c r="N19" s="30"/>
      <c r="O19" s="30"/>
      <c r="P19" s="30"/>
      <c r="Q19" s="30"/>
      <c r="X19" s="30"/>
    </row>
    <row r="20" spans="1:24" s="5" customFormat="1" ht="78" customHeight="1" x14ac:dyDescent="0.2">
      <c r="A20" s="71" t="s">
        <v>134</v>
      </c>
      <c r="B20" s="67">
        <f>SUM(B5+B6+B7)*B25+(B8+B9+B10)*B28+(B11+B13)*B30+(B12)*B31+(B14+B15+B16)*B34</f>
        <v>11643.75</v>
      </c>
      <c r="C20" s="67">
        <f>SUM(C5+C6+C7)*B25+(C8+C9+C10)*B28+(C11+C13)*B30+(C12)*B31+(C14+C15+C16)*B34</f>
        <v>12383.75</v>
      </c>
      <c r="D20" s="67">
        <f>SUM(D5+D6+D7)*B25+(D8+D9+D10)*B28+(D11+D13)*B30+(D12)*B31+(D14+D15+D16)*B34</f>
        <v>13123.75</v>
      </c>
      <c r="E20" s="67">
        <f>SUM(E5+E6+E7)*B25+(E8+E9+E10)*B28+(E11+E13)*B30+(E12)*B31+(E14+E15+E16)*B34</f>
        <v>13773.75</v>
      </c>
      <c r="F20" s="67">
        <f>SUM(F5+F6+F7)*B25+(F8+F9+F10)*B28+(F11+F13)*B30+(F12)*B31+(F14+F15+F16)*B34</f>
        <v>14423.75</v>
      </c>
      <c r="G20" s="67">
        <f>SUM(G5+G6+G7)*B25+(G8+G9+G10)*B28+(G11+G13)*B30+(G12)*B31+(G14+G15+G16)*B34</f>
        <v>14986.25</v>
      </c>
      <c r="H20" s="67">
        <f>SUM(H5+H6+H7)*B25+(H8+H9+H10)*B28+(H11+H13)*B30+(H12)*B31+(H14+H15+H16)*B34</f>
        <v>15723.75</v>
      </c>
      <c r="I20" s="67">
        <f>SUM(I5+I6+I7)*B25+(I8+I9+I10)*B28+(I11+I13)*B30+(I12)*B31+(I14+I15+I16)*B34</f>
        <v>16373.75</v>
      </c>
      <c r="J20" s="67">
        <f>SUM(J5+J6+J7)*B25+(J8+J9+J10)*B28+(J11+J13)*B30+(J12)*B31+(J14+J15+J16)*B34</f>
        <v>17121.25</v>
      </c>
      <c r="K20" s="67">
        <f>SUM(K5+K6+K7)*B25+(K8+K9+K10)*B28+(K11+K13)*B30+(K12)*B31+(K14+K15+K16)*B34</f>
        <v>18833.375</v>
      </c>
      <c r="L20" s="67">
        <f>SUM(L5+L6+L7)*B25+(L8+L9+L10)*B28+(L11+L13)*B30+(L12)*B31+(L14+L15+L16)*B34</f>
        <v>20716.712500000001</v>
      </c>
      <c r="M20" s="67">
        <f>SUM(M5+M6+M7)*B25+(M8+M9+M10)*B28+(M11+M13)*B30+(M12)*B31+(M14+M15+M16)*B34</f>
        <v>26931.72625</v>
      </c>
      <c r="N20" s="58"/>
      <c r="O20" s="58"/>
      <c r="P20" s="58"/>
      <c r="Q20" s="30"/>
      <c r="X20" s="30"/>
    </row>
    <row r="21" spans="1:24" s="19" customFormat="1" ht="79.5" customHeight="1" x14ac:dyDescent="0.2">
      <c r="A21" s="72" t="s">
        <v>135</v>
      </c>
      <c r="B21" s="68" t="str">
        <f>IF(B20&gt;B19,"Above",IF(B20=B19,"On","Below"))</f>
        <v>Above</v>
      </c>
      <c r="C21" s="68" t="str">
        <f t="shared" ref="C21:J21" si="7">IF(C20&gt;C19,"Above",IF(C20=C19,"On","Below"))</f>
        <v>Above</v>
      </c>
      <c r="D21" s="68" t="str">
        <f t="shared" si="7"/>
        <v>Above</v>
      </c>
      <c r="E21" s="68" t="str">
        <f t="shared" si="7"/>
        <v>Below</v>
      </c>
      <c r="F21" s="68" t="str">
        <f t="shared" si="7"/>
        <v>Below</v>
      </c>
      <c r="G21" s="68" t="str">
        <f t="shared" si="7"/>
        <v>Below</v>
      </c>
      <c r="H21" s="68" t="str">
        <f t="shared" si="7"/>
        <v>Below</v>
      </c>
      <c r="I21" s="68" t="str">
        <f t="shared" si="7"/>
        <v>Below</v>
      </c>
      <c r="J21" s="68" t="str">
        <f t="shared" si="7"/>
        <v>Below</v>
      </c>
      <c r="K21" s="68" t="str">
        <f>IF(K20&gt;K19,"Above",IF(K20=K19,"On","Below"))</f>
        <v>Below</v>
      </c>
      <c r="L21" s="68" t="str">
        <f>IF(L20&gt;L19,"Above",IF(L20=L19,"On","Below"))</f>
        <v>Below</v>
      </c>
      <c r="M21" s="68" t="str">
        <f>IF(M20&gt;M19,"Above",IF(M20=M19,"On","Below"))</f>
        <v>Below</v>
      </c>
      <c r="N21" s="61"/>
      <c r="O21" s="61"/>
      <c r="P21" s="62"/>
      <c r="Q21" s="40"/>
      <c r="X21" s="40"/>
    </row>
    <row r="22" spans="1:24" s="5" customFormat="1" x14ac:dyDescent="0.2">
      <c r="A22" s="30"/>
      <c r="B22" s="30"/>
      <c r="C22" s="30"/>
      <c r="D22" s="30"/>
      <c r="E22" s="30"/>
      <c r="F22" s="30"/>
      <c r="G22" s="30"/>
      <c r="H22" s="30"/>
      <c r="I22" s="30"/>
      <c r="J22" s="30"/>
      <c r="K22" s="30"/>
      <c r="L22" s="30"/>
      <c r="M22" s="30"/>
      <c r="N22" s="30"/>
      <c r="O22" s="30"/>
      <c r="P22" s="30"/>
      <c r="Q22" s="30"/>
      <c r="R22" s="58"/>
    </row>
    <row r="23" spans="1:24" s="5" customFormat="1" ht="25.5" x14ac:dyDescent="0.2">
      <c r="A23" s="41" t="s">
        <v>106</v>
      </c>
      <c r="B23" s="41" t="s">
        <v>40</v>
      </c>
      <c r="C23" s="41" t="s">
        <v>26</v>
      </c>
      <c r="D23" s="42"/>
      <c r="E23" s="42"/>
      <c r="F23" s="30"/>
      <c r="G23" s="30"/>
      <c r="H23" s="30"/>
      <c r="I23" s="30"/>
      <c r="J23" s="30"/>
      <c r="K23" s="30"/>
      <c r="L23" s="30"/>
      <c r="M23" s="30"/>
      <c r="N23" s="30"/>
      <c r="O23" s="30"/>
      <c r="P23" s="30"/>
      <c r="Q23" s="30"/>
      <c r="R23" s="58"/>
    </row>
    <row r="24" spans="1:24" s="5" customFormat="1" x14ac:dyDescent="0.2">
      <c r="A24" s="27" t="s">
        <v>14</v>
      </c>
      <c r="B24" s="59">
        <v>3</v>
      </c>
      <c r="C24" s="28">
        <v>10</v>
      </c>
      <c r="D24" s="30"/>
      <c r="E24" s="30"/>
      <c r="F24" s="30"/>
      <c r="G24" s="30"/>
      <c r="H24" s="30"/>
      <c r="I24" s="30"/>
      <c r="J24" s="30"/>
      <c r="K24" s="30"/>
      <c r="L24" s="30"/>
      <c r="M24" s="30"/>
      <c r="N24" s="30"/>
      <c r="O24" s="30"/>
      <c r="P24" s="30"/>
      <c r="Q24" s="30"/>
      <c r="R24" s="58"/>
    </row>
    <row r="25" spans="1:24" s="5" customFormat="1" ht="12.75" customHeight="1" x14ac:dyDescent="0.2">
      <c r="A25" s="27" t="s">
        <v>16</v>
      </c>
      <c r="B25" s="59">
        <v>3</v>
      </c>
      <c r="C25" s="28">
        <v>10</v>
      </c>
      <c r="D25" s="30"/>
      <c r="E25" s="30"/>
      <c r="F25" s="30"/>
      <c r="G25" s="30"/>
      <c r="H25" s="30"/>
      <c r="I25" s="30"/>
      <c r="J25" s="30"/>
      <c r="K25" s="30"/>
      <c r="L25" s="30"/>
      <c r="M25" s="30"/>
      <c r="N25" s="30"/>
      <c r="O25" s="30"/>
      <c r="P25" s="30"/>
      <c r="Q25" s="30"/>
      <c r="R25" s="58"/>
    </row>
    <row r="26" spans="1:24" s="5" customFormat="1" ht="18.75" customHeight="1" x14ac:dyDescent="0.2">
      <c r="A26" s="27" t="s">
        <v>17</v>
      </c>
      <c r="B26" s="59">
        <v>3</v>
      </c>
      <c r="C26" s="28">
        <v>10</v>
      </c>
      <c r="D26" s="30"/>
      <c r="E26" s="30"/>
      <c r="F26" s="30"/>
      <c r="G26" s="30"/>
      <c r="H26" s="30"/>
      <c r="I26" s="30"/>
      <c r="J26" s="30"/>
      <c r="K26" s="30"/>
      <c r="L26" s="30"/>
      <c r="M26" s="30"/>
      <c r="N26" s="30"/>
      <c r="O26" s="30"/>
      <c r="P26" s="30"/>
      <c r="Q26" s="30"/>
      <c r="R26" s="58"/>
    </row>
    <row r="27" spans="1:24" s="5" customFormat="1" ht="17.25" customHeight="1" x14ac:dyDescent="0.2">
      <c r="A27" s="31" t="s">
        <v>15</v>
      </c>
      <c r="B27" s="59">
        <v>2.75</v>
      </c>
      <c r="C27" s="28">
        <v>10</v>
      </c>
      <c r="D27" s="30"/>
      <c r="E27" s="30"/>
      <c r="F27" s="30"/>
      <c r="G27" s="30"/>
      <c r="H27" s="30"/>
      <c r="I27" s="30"/>
      <c r="J27" s="30"/>
      <c r="K27" s="30"/>
      <c r="L27" s="30"/>
      <c r="M27" s="30"/>
      <c r="N27" s="30"/>
      <c r="O27" s="30"/>
      <c r="P27" s="30"/>
      <c r="Q27" s="30"/>
      <c r="R27" s="58"/>
    </row>
    <row r="28" spans="1:24" s="5" customFormat="1" ht="18" customHeight="1" x14ac:dyDescent="0.2">
      <c r="A28" s="31" t="s">
        <v>18</v>
      </c>
      <c r="B28" s="59">
        <v>2.75</v>
      </c>
      <c r="C28" s="28">
        <v>10</v>
      </c>
      <c r="D28" s="30"/>
      <c r="E28" s="30"/>
      <c r="F28" s="30"/>
      <c r="G28" s="30"/>
      <c r="H28" s="30"/>
      <c r="I28" s="30"/>
      <c r="J28" s="30"/>
      <c r="K28" s="30"/>
      <c r="L28" s="30"/>
      <c r="M28" s="30"/>
      <c r="N28" s="30"/>
      <c r="O28" s="30"/>
      <c r="P28" s="30"/>
      <c r="Q28" s="30"/>
      <c r="R28" s="58"/>
    </row>
    <row r="29" spans="1:24" s="5" customFormat="1" ht="17.25" customHeight="1" x14ac:dyDescent="0.2">
      <c r="A29" s="31" t="s">
        <v>19</v>
      </c>
      <c r="B29" s="59">
        <v>2.75</v>
      </c>
      <c r="C29" s="28">
        <v>20</v>
      </c>
      <c r="D29" s="30"/>
      <c r="E29" s="30"/>
      <c r="F29" s="30"/>
      <c r="G29" s="30"/>
      <c r="H29" s="30"/>
      <c r="I29" s="30"/>
      <c r="J29" s="30"/>
      <c r="K29" s="30"/>
      <c r="L29" s="30"/>
      <c r="M29" s="30"/>
      <c r="N29" s="30"/>
      <c r="O29" s="30"/>
      <c r="P29" s="30"/>
      <c r="Q29" s="30"/>
      <c r="R29" s="58"/>
    </row>
    <row r="30" spans="1:24" s="5" customFormat="1" x14ac:dyDescent="0.2">
      <c r="A30" s="32" t="s">
        <v>20</v>
      </c>
      <c r="B30" s="59">
        <v>2.5</v>
      </c>
      <c r="C30" s="28">
        <v>20</v>
      </c>
      <c r="D30" s="30"/>
      <c r="E30" s="30"/>
      <c r="F30" s="30"/>
      <c r="G30" s="30"/>
      <c r="H30" s="30"/>
      <c r="I30" s="30"/>
      <c r="J30" s="30"/>
      <c r="K30" s="30"/>
      <c r="L30" s="30"/>
      <c r="M30" s="30"/>
      <c r="N30" s="30"/>
      <c r="O30" s="30"/>
      <c r="P30" s="30"/>
      <c r="Q30" s="30"/>
      <c r="R30" s="58"/>
    </row>
    <row r="31" spans="1:24" s="5" customFormat="1" x14ac:dyDescent="0.2">
      <c r="A31" s="32" t="s">
        <v>21</v>
      </c>
      <c r="B31" s="59">
        <v>2.25</v>
      </c>
      <c r="C31" s="28">
        <v>40</v>
      </c>
      <c r="D31" s="30"/>
      <c r="E31" s="30"/>
      <c r="F31" s="30"/>
      <c r="G31" s="30"/>
      <c r="H31" s="30"/>
      <c r="I31" s="30"/>
      <c r="J31" s="30"/>
      <c r="K31" s="30"/>
      <c r="L31" s="30"/>
      <c r="M31" s="30"/>
      <c r="N31" s="30"/>
      <c r="O31" s="30"/>
      <c r="P31" s="30"/>
      <c r="Q31" s="30"/>
      <c r="R31" s="58"/>
    </row>
    <row r="32" spans="1:24" s="5" customFormat="1" x14ac:dyDescent="0.2">
      <c r="A32" s="32" t="s">
        <v>22</v>
      </c>
      <c r="B32" s="59">
        <v>2.5</v>
      </c>
      <c r="C32" s="28">
        <v>20</v>
      </c>
      <c r="D32" s="30"/>
      <c r="E32" s="30"/>
      <c r="F32" s="30"/>
      <c r="G32" s="30"/>
      <c r="H32" s="30"/>
      <c r="I32" s="30"/>
      <c r="J32" s="30"/>
      <c r="K32" s="30"/>
      <c r="L32" s="30"/>
      <c r="M32" s="30"/>
      <c r="N32" s="30"/>
      <c r="O32" s="30"/>
      <c r="P32" s="30"/>
      <c r="Q32" s="30"/>
      <c r="R32" s="58"/>
    </row>
    <row r="33" spans="1:19" s="5" customFormat="1" x14ac:dyDescent="0.2">
      <c r="A33" s="33" t="s">
        <v>23</v>
      </c>
      <c r="B33" s="59">
        <v>3.25</v>
      </c>
      <c r="C33" s="28">
        <v>10</v>
      </c>
      <c r="D33" s="30"/>
      <c r="E33" s="30"/>
      <c r="F33" s="30"/>
      <c r="G33" s="30"/>
      <c r="H33" s="30"/>
      <c r="I33" s="30"/>
      <c r="J33" s="30"/>
      <c r="K33" s="30"/>
      <c r="L33" s="30"/>
      <c r="M33" s="30"/>
      <c r="N33" s="30"/>
      <c r="O33" s="30"/>
      <c r="P33" s="30"/>
      <c r="Q33" s="30"/>
      <c r="R33" s="58"/>
    </row>
    <row r="34" spans="1:19" s="3" customFormat="1" x14ac:dyDescent="0.2">
      <c r="A34" s="33" t="s">
        <v>24</v>
      </c>
      <c r="B34" s="59">
        <v>3.25</v>
      </c>
      <c r="C34" s="28">
        <v>10</v>
      </c>
      <c r="D34" s="30"/>
      <c r="E34" s="30"/>
      <c r="F34" s="30"/>
      <c r="G34" s="30"/>
      <c r="H34" s="30"/>
      <c r="I34" s="30"/>
      <c r="J34" s="30"/>
      <c r="K34" s="30"/>
      <c r="L34" s="30"/>
      <c r="M34" s="30"/>
      <c r="N34" s="30"/>
      <c r="O34" s="30"/>
      <c r="P34" s="30"/>
      <c r="Q34" s="30"/>
      <c r="R34" s="58"/>
      <c r="S34" s="5"/>
    </row>
    <row r="35" spans="1:19" s="5" customFormat="1" x14ac:dyDescent="0.2">
      <c r="A35" s="33" t="s">
        <v>25</v>
      </c>
      <c r="B35" s="59">
        <v>3.25</v>
      </c>
      <c r="C35" s="28">
        <v>10</v>
      </c>
      <c r="D35" s="30"/>
      <c r="E35" s="30"/>
      <c r="F35" s="30"/>
      <c r="G35" s="30"/>
      <c r="H35" s="30"/>
      <c r="I35" s="30"/>
      <c r="J35" s="30"/>
      <c r="K35" s="30"/>
      <c r="L35" s="30"/>
      <c r="M35" s="30"/>
      <c r="N35" s="30"/>
      <c r="O35" s="30"/>
      <c r="P35" s="30"/>
      <c r="Q35" s="30"/>
      <c r="R35" s="58"/>
    </row>
    <row r="36" spans="1:19" s="5" customFormat="1" x14ac:dyDescent="0.2">
      <c r="A36" s="44"/>
      <c r="B36" s="45"/>
      <c r="C36" s="46"/>
      <c r="D36" s="30"/>
      <c r="E36" s="30"/>
      <c r="F36" s="30"/>
      <c r="G36" s="30"/>
      <c r="H36" s="30"/>
      <c r="I36" s="30"/>
      <c r="J36" s="30"/>
      <c r="K36" s="30"/>
      <c r="L36" s="30"/>
      <c r="M36" s="30"/>
      <c r="N36" s="30"/>
      <c r="O36" s="30"/>
      <c r="P36" s="30"/>
      <c r="Q36" s="30"/>
      <c r="R36" s="58"/>
    </row>
    <row r="37" spans="1:19" s="5" customFormat="1" x14ac:dyDescent="0.2">
      <c r="A37" s="44"/>
      <c r="B37" s="45"/>
      <c r="C37" s="46"/>
      <c r="D37" s="30"/>
      <c r="E37" s="30"/>
      <c r="F37" s="30"/>
      <c r="G37" s="30"/>
      <c r="H37" s="30"/>
      <c r="I37" s="30"/>
      <c r="J37" s="30"/>
      <c r="K37" s="30"/>
      <c r="L37" s="30"/>
      <c r="M37" s="30"/>
      <c r="N37" s="30"/>
      <c r="O37" s="30"/>
      <c r="P37" s="30"/>
      <c r="Q37" s="30"/>
      <c r="R37" s="58"/>
    </row>
    <row r="38" spans="1:19" s="5" customFormat="1" ht="12.75" customHeight="1" x14ac:dyDescent="0.2">
      <c r="A38" s="47" t="s">
        <v>29</v>
      </c>
      <c r="B38" s="118" t="s">
        <v>96</v>
      </c>
      <c r="C38" s="119"/>
      <c r="D38" s="120"/>
      <c r="E38" s="30"/>
      <c r="F38" s="30"/>
      <c r="G38" s="30"/>
      <c r="H38" s="30"/>
      <c r="I38" s="30"/>
      <c r="J38" s="30"/>
      <c r="K38" s="30"/>
      <c r="L38" s="30"/>
      <c r="M38" s="30"/>
      <c r="N38" s="30"/>
      <c r="O38" s="30"/>
      <c r="P38" s="30"/>
      <c r="Q38" s="30"/>
      <c r="R38" s="30"/>
    </row>
    <row r="39" spans="1:19" s="5" customFormat="1" ht="25.5" x14ac:dyDescent="0.2">
      <c r="A39" s="48" t="s">
        <v>35</v>
      </c>
      <c r="B39" s="48" t="s">
        <v>34</v>
      </c>
      <c r="C39" s="48" t="s">
        <v>92</v>
      </c>
      <c r="D39" s="48" t="s">
        <v>39</v>
      </c>
      <c r="E39" s="48" t="s">
        <v>95</v>
      </c>
      <c r="F39" s="48" t="s">
        <v>85</v>
      </c>
      <c r="G39" s="48" t="s">
        <v>93</v>
      </c>
      <c r="H39" s="48" t="s">
        <v>94</v>
      </c>
      <c r="I39" s="26"/>
      <c r="J39" s="49" t="s">
        <v>98</v>
      </c>
      <c r="K39" s="49" t="s">
        <v>86</v>
      </c>
      <c r="L39" s="26"/>
      <c r="M39" s="50" t="s">
        <v>100</v>
      </c>
      <c r="N39" s="50" t="s">
        <v>99</v>
      </c>
      <c r="O39" s="30"/>
      <c r="P39" s="30"/>
      <c r="Q39" s="30"/>
      <c r="R39" s="30"/>
    </row>
    <row r="40" spans="1:19" s="5" customFormat="1" ht="38.25" x14ac:dyDescent="0.2">
      <c r="A40" s="51" t="s">
        <v>97</v>
      </c>
      <c r="B40" s="51" t="s">
        <v>174</v>
      </c>
      <c r="C40" s="51" t="s">
        <v>173</v>
      </c>
      <c r="D40" s="51" t="s">
        <v>161</v>
      </c>
      <c r="E40" s="51" t="s">
        <v>179</v>
      </c>
      <c r="F40" s="51" t="s">
        <v>170</v>
      </c>
      <c r="G40" s="52" t="s">
        <v>164</v>
      </c>
      <c r="H40" s="51" t="s">
        <v>168</v>
      </c>
      <c r="I40" s="53"/>
      <c r="J40" s="54" t="s">
        <v>104</v>
      </c>
      <c r="K40" s="52" t="s">
        <v>87</v>
      </c>
      <c r="L40" s="53"/>
      <c r="M40" s="51" t="s">
        <v>101</v>
      </c>
      <c r="N40" s="55">
        <v>0</v>
      </c>
      <c r="O40" s="30"/>
      <c r="P40" s="30"/>
      <c r="Q40" s="30"/>
      <c r="R40" s="30"/>
    </row>
    <row r="41" spans="1:19" s="5" customFormat="1" ht="25.5" x14ac:dyDescent="0.2">
      <c r="A41" s="51" t="s">
        <v>175</v>
      </c>
      <c r="B41" s="51" t="s">
        <v>176</v>
      </c>
      <c r="C41" s="51" t="s">
        <v>173</v>
      </c>
      <c r="D41" s="51" t="s">
        <v>162</v>
      </c>
      <c r="E41" s="51" t="s">
        <v>180</v>
      </c>
      <c r="F41" s="51" t="s">
        <v>171</v>
      </c>
      <c r="G41" s="52" t="s">
        <v>165</v>
      </c>
      <c r="H41" s="51" t="s">
        <v>167</v>
      </c>
      <c r="I41" s="53"/>
      <c r="J41" s="54" t="s">
        <v>84</v>
      </c>
      <c r="K41" s="52" t="s">
        <v>88</v>
      </c>
      <c r="L41" s="56"/>
      <c r="M41" s="52" t="s">
        <v>102</v>
      </c>
      <c r="N41" s="43">
        <v>5.5</v>
      </c>
      <c r="O41" s="30"/>
      <c r="P41" s="30"/>
      <c r="Q41" s="30"/>
      <c r="R41" s="30"/>
    </row>
    <row r="42" spans="1:19" s="5" customFormat="1" ht="63.75" x14ac:dyDescent="0.2">
      <c r="A42" s="51" t="s">
        <v>177</v>
      </c>
      <c r="B42" s="51" t="s">
        <v>178</v>
      </c>
      <c r="C42" s="51" t="s">
        <v>173</v>
      </c>
      <c r="D42" s="51" t="s">
        <v>163</v>
      </c>
      <c r="E42" s="51" t="s">
        <v>181</v>
      </c>
      <c r="F42" s="51" t="s">
        <v>172</v>
      </c>
      <c r="G42" s="52" t="s">
        <v>166</v>
      </c>
      <c r="H42" s="51" t="s">
        <v>169</v>
      </c>
      <c r="I42" s="53"/>
      <c r="J42" s="54" t="s">
        <v>89</v>
      </c>
      <c r="K42" s="52" t="s">
        <v>90</v>
      </c>
      <c r="L42" s="56"/>
      <c r="M42" s="51" t="s">
        <v>103</v>
      </c>
      <c r="N42" s="57">
        <v>10</v>
      </c>
      <c r="O42" s="30"/>
      <c r="P42" s="30"/>
      <c r="Q42" s="30"/>
      <c r="R42" s="30"/>
    </row>
    <row r="43" spans="1:19" s="5" customFormat="1" x14ac:dyDescent="0.2"/>
    <row r="44" spans="1:19" s="5" customFormat="1" ht="29.25" customHeight="1" x14ac:dyDescent="0.2"/>
    <row r="45" spans="1:19" s="5" customFormat="1" x14ac:dyDescent="0.2"/>
    <row r="46" spans="1:19" s="5" customFormat="1" x14ac:dyDescent="0.2">
      <c r="A46" s="18" t="s">
        <v>30</v>
      </c>
    </row>
    <row r="47" spans="1:19" s="5" customFormat="1" ht="51" x14ac:dyDescent="0.2">
      <c r="A47" s="10" t="s">
        <v>36</v>
      </c>
      <c r="B47" s="10" t="s">
        <v>37</v>
      </c>
      <c r="C47" s="10" t="s">
        <v>31</v>
      </c>
      <c r="D47" s="10" t="s">
        <v>69</v>
      </c>
      <c r="E47" s="10" t="s">
        <v>32</v>
      </c>
      <c r="F47" s="10" t="s">
        <v>33</v>
      </c>
      <c r="G47" s="10" t="s">
        <v>44</v>
      </c>
      <c r="H47" s="10" t="s">
        <v>82</v>
      </c>
      <c r="I47" s="10" t="s">
        <v>38</v>
      </c>
      <c r="J47" s="11" t="s">
        <v>62</v>
      </c>
      <c r="K47" s="11" t="s">
        <v>41</v>
      </c>
      <c r="L47" s="11" t="s">
        <v>80</v>
      </c>
      <c r="M47" s="11" t="s">
        <v>70</v>
      </c>
      <c r="N47" s="11" t="s">
        <v>71</v>
      </c>
      <c r="O47" s="3"/>
      <c r="P47" s="16"/>
      <c r="Q47" s="3"/>
      <c r="R47" s="63" t="s">
        <v>105</v>
      </c>
      <c r="S47" s="3"/>
    </row>
    <row r="48" spans="1:19" s="5" customFormat="1" ht="25.5" x14ac:dyDescent="0.2">
      <c r="A48" s="13" t="s">
        <v>208</v>
      </c>
      <c r="B48" s="13" t="s">
        <v>209</v>
      </c>
      <c r="C48" s="12">
        <v>28683</v>
      </c>
      <c r="D48" s="4">
        <f ca="1">INT((TODAY()-C48)/365)</f>
        <v>41</v>
      </c>
      <c r="E48" s="13" t="s">
        <v>68</v>
      </c>
      <c r="F48" s="15" t="s">
        <v>79</v>
      </c>
      <c r="G48" s="13" t="s">
        <v>59</v>
      </c>
      <c r="H48" s="13" t="s">
        <v>60</v>
      </c>
      <c r="I48" s="9" t="s">
        <v>216</v>
      </c>
      <c r="J48" s="13">
        <v>0</v>
      </c>
      <c r="K48" s="13" t="s">
        <v>42</v>
      </c>
      <c r="L48" s="13" t="s">
        <v>53</v>
      </c>
      <c r="M48" s="13">
        <v>37</v>
      </c>
      <c r="N48" s="6">
        <f>M48*C57</f>
        <v>214.6</v>
      </c>
      <c r="R48" s="14">
        <f t="shared" ref="R48:R54" ca="1" si="8">(TODAY()-C48)/365</f>
        <v>41.709589041095889</v>
      </c>
    </row>
    <row r="49" spans="1:18" s="5" customFormat="1" ht="25.5" x14ac:dyDescent="0.2">
      <c r="A49" s="13" t="s">
        <v>211</v>
      </c>
      <c r="B49" s="13" t="s">
        <v>210</v>
      </c>
      <c r="C49" s="12">
        <v>28453</v>
      </c>
      <c r="D49" s="4">
        <f t="shared" ref="D49:D54" ca="1" si="9">INT((TODAY()-C49)/365.25)</f>
        <v>42</v>
      </c>
      <c r="E49" s="13" t="s">
        <v>68</v>
      </c>
      <c r="F49" s="15" t="s">
        <v>79</v>
      </c>
      <c r="G49" s="13" t="s">
        <v>54</v>
      </c>
      <c r="H49" s="13" t="s">
        <v>60</v>
      </c>
      <c r="I49" s="9" t="s">
        <v>217</v>
      </c>
      <c r="J49" s="13">
        <v>5</v>
      </c>
      <c r="K49" s="13" t="s">
        <v>42</v>
      </c>
      <c r="L49" s="13" t="s">
        <v>52</v>
      </c>
      <c r="M49" s="13">
        <v>25</v>
      </c>
      <c r="N49" s="6">
        <f>(40*C58)+2*(C58+C58/2)</f>
        <v>207.69</v>
      </c>
      <c r="R49" s="14">
        <f t="shared" ca="1" si="8"/>
        <v>42.339726027397262</v>
      </c>
    </row>
    <row r="50" spans="1:18" s="5" customFormat="1" ht="25.5" x14ac:dyDescent="0.2">
      <c r="A50" s="13" t="s">
        <v>212</v>
      </c>
      <c r="B50" s="13" t="s">
        <v>213</v>
      </c>
      <c r="C50" s="12">
        <v>30560</v>
      </c>
      <c r="D50" s="4">
        <f t="shared" ca="1" si="9"/>
        <v>36</v>
      </c>
      <c r="E50" s="13" t="s">
        <v>67</v>
      </c>
      <c r="F50" s="15" t="s">
        <v>79</v>
      </c>
      <c r="G50" s="13" t="s">
        <v>56</v>
      </c>
      <c r="H50" s="13" t="s">
        <v>61</v>
      </c>
      <c r="I50" s="9" t="s">
        <v>218</v>
      </c>
      <c r="J50" s="13">
        <v>3</v>
      </c>
      <c r="K50" s="13" t="s">
        <v>43</v>
      </c>
      <c r="L50" s="13" t="s">
        <v>52</v>
      </c>
      <c r="M50" s="13">
        <v>37</v>
      </c>
      <c r="N50" s="6">
        <f>M50*C58</f>
        <v>178.71</v>
      </c>
      <c r="R50" s="14">
        <f t="shared" ca="1" si="8"/>
        <v>36.56712328767123</v>
      </c>
    </row>
    <row r="51" spans="1:18" s="5" customFormat="1" ht="25.5" x14ac:dyDescent="0.2">
      <c r="A51" s="13" t="s">
        <v>214</v>
      </c>
      <c r="B51" s="13" t="s">
        <v>215</v>
      </c>
      <c r="C51" s="12">
        <v>21125</v>
      </c>
      <c r="D51" s="4">
        <f t="shared" ca="1" si="9"/>
        <v>62</v>
      </c>
      <c r="E51" s="13" t="s">
        <v>67</v>
      </c>
      <c r="F51" s="15" t="s">
        <v>79</v>
      </c>
      <c r="G51" s="13" t="s">
        <v>55</v>
      </c>
      <c r="H51" s="13" t="s">
        <v>61</v>
      </c>
      <c r="I51" s="9" t="s">
        <v>219</v>
      </c>
      <c r="J51" s="13">
        <v>7.5</v>
      </c>
      <c r="K51" s="13" t="s">
        <v>43</v>
      </c>
      <c r="L51" s="13" t="s">
        <v>53</v>
      </c>
      <c r="M51" s="13">
        <v>37</v>
      </c>
      <c r="N51" s="6">
        <f>M51*C57</f>
        <v>214.6</v>
      </c>
      <c r="R51" s="14">
        <f t="shared" ca="1" si="8"/>
        <v>62.416438356164385</v>
      </c>
    </row>
    <row r="52" spans="1:18" s="5" customFormat="1" ht="25.5" x14ac:dyDescent="0.2">
      <c r="A52" s="13" t="s">
        <v>207</v>
      </c>
      <c r="B52" s="13" t="s">
        <v>206</v>
      </c>
      <c r="C52" s="12">
        <v>17589</v>
      </c>
      <c r="D52" s="4">
        <f t="shared" ca="1" si="9"/>
        <v>72</v>
      </c>
      <c r="E52" s="13" t="s">
        <v>68</v>
      </c>
      <c r="F52" s="15" t="s">
        <v>79</v>
      </c>
      <c r="G52" s="13" t="s">
        <v>54</v>
      </c>
      <c r="H52" s="13" t="s">
        <v>60</v>
      </c>
      <c r="I52" s="9" t="s">
        <v>220</v>
      </c>
      <c r="J52" s="13">
        <v>2</v>
      </c>
      <c r="K52" s="13" t="s">
        <v>43</v>
      </c>
      <c r="L52" s="13" t="s">
        <v>53</v>
      </c>
      <c r="M52" s="13">
        <v>25</v>
      </c>
      <c r="N52" s="6">
        <f>M52*C57</f>
        <v>145</v>
      </c>
      <c r="R52" s="14">
        <f t="shared" ca="1" si="8"/>
        <v>72.104109589041101</v>
      </c>
    </row>
    <row r="53" spans="1:18" s="5" customFormat="1" ht="25.5" x14ac:dyDescent="0.2">
      <c r="A53" s="13" t="s">
        <v>204</v>
      </c>
      <c r="B53" s="13" t="s">
        <v>205</v>
      </c>
      <c r="C53" s="12">
        <v>30664</v>
      </c>
      <c r="D53" s="4">
        <f t="shared" ca="1" si="9"/>
        <v>36</v>
      </c>
      <c r="E53" s="13" t="s">
        <v>68</v>
      </c>
      <c r="F53" s="15" t="s">
        <v>79</v>
      </c>
      <c r="G53" s="13" t="s">
        <v>54</v>
      </c>
      <c r="H53" s="13" t="s">
        <v>60</v>
      </c>
      <c r="I53" s="9" t="s">
        <v>221</v>
      </c>
      <c r="J53" s="13">
        <v>1</v>
      </c>
      <c r="K53" s="13" t="s">
        <v>43</v>
      </c>
      <c r="L53" s="13" t="s">
        <v>52</v>
      </c>
      <c r="M53" s="13">
        <v>25</v>
      </c>
      <c r="N53" s="6">
        <f>M53*C57</f>
        <v>145</v>
      </c>
      <c r="R53" s="14">
        <f t="shared" ca="1" si="8"/>
        <v>36.282191780821918</v>
      </c>
    </row>
    <row r="54" spans="1:18" s="5" customFormat="1" ht="25.5" x14ac:dyDescent="0.2">
      <c r="A54" s="13" t="s">
        <v>198</v>
      </c>
      <c r="B54" s="13" t="s">
        <v>199</v>
      </c>
      <c r="C54" s="12">
        <v>33539</v>
      </c>
      <c r="D54" s="4">
        <f t="shared" ca="1" si="9"/>
        <v>28</v>
      </c>
      <c r="E54" s="13" t="s">
        <v>68</v>
      </c>
      <c r="F54" s="15" t="s">
        <v>79</v>
      </c>
      <c r="G54" s="13" t="s">
        <v>45</v>
      </c>
      <c r="H54" s="13" t="s">
        <v>61</v>
      </c>
      <c r="I54" s="9" t="s">
        <v>222</v>
      </c>
      <c r="J54" s="13">
        <v>9</v>
      </c>
      <c r="K54" s="13" t="s">
        <v>42</v>
      </c>
      <c r="L54" s="13" t="s">
        <v>52</v>
      </c>
      <c r="M54" s="13">
        <v>50</v>
      </c>
      <c r="N54" s="6">
        <f>(40*C58)+10*(C58+C58/2)</f>
        <v>265.64999999999998</v>
      </c>
      <c r="R54" s="13">
        <f t="shared" ca="1" si="8"/>
        <v>28.405479452054795</v>
      </c>
    </row>
    <row r="55" spans="1:18" s="5" customFormat="1" x14ac:dyDescent="0.2"/>
    <row r="56" spans="1:18" s="5" customFormat="1" ht="12.75" customHeight="1" x14ac:dyDescent="0.2">
      <c r="C56" s="110" t="s">
        <v>65</v>
      </c>
      <c r="D56" s="111"/>
      <c r="F56" s="112" t="s">
        <v>81</v>
      </c>
      <c r="G56" s="113"/>
      <c r="H56" s="114"/>
      <c r="M56" s="112" t="s">
        <v>66</v>
      </c>
      <c r="N56" s="114"/>
      <c r="O56" s="17"/>
    </row>
    <row r="57" spans="1:18" s="5" customFormat="1" x14ac:dyDescent="0.2">
      <c r="C57" s="7">
        <v>5.8</v>
      </c>
      <c r="D57" s="8">
        <v>22</v>
      </c>
    </row>
    <row r="58" spans="1:18" s="5" customFormat="1" x14ac:dyDescent="0.2">
      <c r="C58" s="7">
        <v>4.83</v>
      </c>
      <c r="D58" s="8" t="s">
        <v>63</v>
      </c>
    </row>
    <row r="59" spans="1:18" s="5" customFormat="1" x14ac:dyDescent="0.2">
      <c r="C59" s="7">
        <v>3.57</v>
      </c>
      <c r="D59" s="8" t="s">
        <v>64</v>
      </c>
    </row>
    <row r="60" spans="1:18" s="5" customFormat="1" x14ac:dyDescent="0.2"/>
    <row r="61" spans="1:18" s="5" customFormat="1" x14ac:dyDescent="0.2"/>
    <row r="62" spans="1:18" s="5" customFormat="1" x14ac:dyDescent="0.2"/>
    <row r="63" spans="1:18" s="5" customFormat="1" x14ac:dyDescent="0.2"/>
    <row r="64" spans="1:18"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row r="72" s="5" customFormat="1" x14ac:dyDescent="0.2"/>
    <row r="73" s="5" customFormat="1" x14ac:dyDescent="0.2"/>
    <row r="74" s="5" customFormat="1" x14ac:dyDescent="0.2"/>
    <row r="75" s="5" customFormat="1" x14ac:dyDescent="0.2"/>
    <row r="76" s="5" customFormat="1" x14ac:dyDescent="0.2"/>
    <row r="77" s="5" customFormat="1" x14ac:dyDescent="0.2"/>
    <row r="78" s="5" customFormat="1" x14ac:dyDescent="0.2"/>
    <row r="79" s="5" customFormat="1" x14ac:dyDescent="0.2"/>
    <row r="80" s="5" customFormat="1" x14ac:dyDescent="0.2"/>
  </sheetData>
  <mergeCells count="6">
    <mergeCell ref="G1:K1"/>
    <mergeCell ref="K3:N3"/>
    <mergeCell ref="B38:D38"/>
    <mergeCell ref="C56:D56"/>
    <mergeCell ref="F56:H56"/>
    <mergeCell ref="M56:N56"/>
  </mergeCells>
  <dataValidations count="1">
    <dataValidation type="list" allowBlank="1" showInputMessage="1" showErrorMessage="1" sqref="C24:C34">
      <formula1>$C$24:$C$35</formula1>
    </dataValidation>
  </dataValidations>
  <pageMargins left="0.31496062992125984" right="0.19685039370078741" top="0.59055118110236227" bottom="0.6692913385826772" header="0.31496062992125984" footer="0.31496062992125984"/>
  <pageSetup paperSize="9" scale="57" fitToHeight="2" orientation="landscape" horizontalDpi="4294967294" r:id="rId1"/>
  <headerFooter>
    <oddHeader>&amp;CBTEC 1st IT for Practititioners
Assessment - Spreadsheets</oddHeader>
    <oddFooter>&amp;LDan Gurr
&amp;D&amp;CPage &amp;P of &amp;N&amp;R&amp;F
&amp;A</oddFooter>
  </headerFooter>
  <rowBreaks count="1" manualBreakCount="1">
    <brk id="22" max="17"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7"/>
  <sheetViews>
    <sheetView tabSelected="1" topLeftCell="K7" zoomScaleNormal="100" workbookViewId="0">
      <selection activeCell="V19" sqref="V19"/>
    </sheetView>
  </sheetViews>
  <sheetFormatPr defaultRowHeight="12.75" x14ac:dyDescent="0.2"/>
  <cols>
    <col min="1" max="1" width="17.42578125" customWidth="1"/>
    <col min="2" max="2" width="11.140625" customWidth="1"/>
    <col min="3" max="9" width="11.28515625" bestFit="1" customWidth="1"/>
    <col min="10" max="10" width="12" customWidth="1"/>
    <col min="11" max="11" width="11.42578125" customWidth="1"/>
    <col min="12" max="12" width="11.85546875" customWidth="1"/>
    <col min="13" max="13" width="11.42578125" customWidth="1"/>
    <col min="14" max="14" width="12.7109375" customWidth="1"/>
    <col min="16" max="16" width="9.28515625" customWidth="1"/>
    <col min="17" max="17" width="14.28515625" customWidth="1"/>
    <col min="18" max="18" width="13.42578125" customWidth="1"/>
    <col min="19" max="19" width="12.85546875" customWidth="1"/>
    <col min="20" max="20" width="13" customWidth="1"/>
  </cols>
  <sheetData>
    <row r="1" spans="1:23" ht="12.75" customHeight="1" x14ac:dyDescent="0.2">
      <c r="A1" s="131" t="s">
        <v>230</v>
      </c>
      <c r="B1" s="131"/>
      <c r="C1" s="131"/>
      <c r="D1" s="131"/>
      <c r="E1" s="131"/>
      <c r="F1" s="131"/>
      <c r="G1" s="131"/>
      <c r="H1" s="131"/>
      <c r="I1" s="131"/>
      <c r="J1" s="131"/>
      <c r="K1" s="131"/>
      <c r="L1" s="131"/>
      <c r="M1" s="131"/>
      <c r="N1" s="131"/>
      <c r="P1" s="121" t="s">
        <v>242</v>
      </c>
      <c r="Q1" s="122"/>
      <c r="R1" s="122"/>
      <c r="S1" s="122"/>
      <c r="T1" s="123"/>
    </row>
    <row r="2" spans="1:23" ht="12.75" customHeight="1" x14ac:dyDescent="0.2">
      <c r="A2" s="81" t="s">
        <v>251</v>
      </c>
      <c r="B2" s="109" t="s">
        <v>231</v>
      </c>
      <c r="C2" s="109" t="s">
        <v>232</v>
      </c>
      <c r="D2" s="109" t="s">
        <v>233</v>
      </c>
      <c r="E2" s="109" t="s">
        <v>234</v>
      </c>
      <c r="F2" s="109" t="s">
        <v>4</v>
      </c>
      <c r="G2" s="109" t="s">
        <v>235</v>
      </c>
      <c r="H2" s="109" t="s">
        <v>236</v>
      </c>
      <c r="I2" s="109" t="s">
        <v>237</v>
      </c>
      <c r="J2" s="109" t="s">
        <v>238</v>
      </c>
      <c r="K2" s="109" t="s">
        <v>239</v>
      </c>
      <c r="L2" s="109" t="s">
        <v>240</v>
      </c>
      <c r="M2" s="109" t="s">
        <v>241</v>
      </c>
      <c r="N2" s="109" t="s">
        <v>249</v>
      </c>
      <c r="P2" s="124"/>
      <c r="Q2" s="125"/>
      <c r="R2" s="125"/>
      <c r="S2" s="125"/>
      <c r="T2" s="126"/>
    </row>
    <row r="3" spans="1:23" ht="12.75" customHeight="1" x14ac:dyDescent="0.2">
      <c r="A3" s="76" t="s">
        <v>140</v>
      </c>
      <c r="B3" s="78">
        <v>10787.05</v>
      </c>
      <c r="C3" s="78">
        <v>11527.5</v>
      </c>
      <c r="D3" s="79">
        <v>12267.5</v>
      </c>
      <c r="E3" s="79">
        <v>12917.5</v>
      </c>
      <c r="F3" s="79">
        <v>13567.5</v>
      </c>
      <c r="G3" s="79">
        <v>14130</v>
      </c>
      <c r="H3" s="79">
        <v>14847.5</v>
      </c>
      <c r="I3" s="79">
        <v>15517.5</v>
      </c>
      <c r="J3" s="79">
        <v>16265</v>
      </c>
      <c r="K3" s="79">
        <v>17891.5</v>
      </c>
      <c r="L3" s="79">
        <v>19680.650000000001</v>
      </c>
      <c r="M3" s="79">
        <v>25584.85</v>
      </c>
      <c r="N3" s="103">
        <f>SUM($B$3:$M$3)</f>
        <v>184984.05</v>
      </c>
      <c r="P3" s="124"/>
      <c r="Q3" s="125"/>
      <c r="R3" s="125"/>
      <c r="S3" s="125"/>
      <c r="T3" s="126"/>
    </row>
    <row r="4" spans="1:23" ht="12.75" customHeight="1" x14ac:dyDescent="0.2">
      <c r="A4" s="76" t="s">
        <v>173</v>
      </c>
      <c r="B4" s="78">
        <v>11643.75</v>
      </c>
      <c r="C4" s="78">
        <v>12383.75</v>
      </c>
      <c r="D4" s="78">
        <v>13123.75</v>
      </c>
      <c r="E4" s="79">
        <v>13733.75</v>
      </c>
      <c r="F4" s="79">
        <v>14423.75</v>
      </c>
      <c r="G4" s="79">
        <v>14986.25</v>
      </c>
      <c r="H4" s="79">
        <v>15723.75</v>
      </c>
      <c r="I4" s="79">
        <v>16373.75</v>
      </c>
      <c r="J4" s="80">
        <v>17121</v>
      </c>
      <c r="K4" s="80">
        <v>18833.38</v>
      </c>
      <c r="L4" s="79">
        <v>20716.71</v>
      </c>
      <c r="M4" s="79">
        <v>26931.73</v>
      </c>
      <c r="N4" s="103">
        <f>SUM($B$4:$M$4)</f>
        <v>195995.32</v>
      </c>
      <c r="P4" s="124"/>
      <c r="Q4" s="125"/>
      <c r="R4" s="125"/>
      <c r="S4" s="125"/>
      <c r="T4" s="126"/>
    </row>
    <row r="5" spans="1:23" ht="12.75" customHeight="1" x14ac:dyDescent="0.2">
      <c r="A5" s="76" t="s">
        <v>111</v>
      </c>
      <c r="B5" s="78">
        <v>12500</v>
      </c>
      <c r="C5" s="78">
        <v>13240</v>
      </c>
      <c r="D5" s="78">
        <v>13980</v>
      </c>
      <c r="E5" s="78">
        <v>14630</v>
      </c>
      <c r="F5" s="78">
        <v>15280</v>
      </c>
      <c r="G5" s="79">
        <v>15842.5</v>
      </c>
      <c r="H5" s="78">
        <v>16580</v>
      </c>
      <c r="I5" s="78">
        <v>17230</v>
      </c>
      <c r="J5" s="79">
        <v>17977</v>
      </c>
      <c r="K5" s="79">
        <v>19775.25</v>
      </c>
      <c r="L5" s="79">
        <v>21752.78</v>
      </c>
      <c r="M5" s="78">
        <v>28278.61</v>
      </c>
      <c r="N5" s="103">
        <f>SUM($B$5:$M$5)</f>
        <v>207066.14</v>
      </c>
      <c r="P5" s="124"/>
      <c r="Q5" s="125"/>
      <c r="R5" s="125"/>
      <c r="S5" s="125"/>
      <c r="T5" s="126"/>
    </row>
    <row r="6" spans="1:23" ht="12.75" customHeight="1" x14ac:dyDescent="0.2">
      <c r="A6" s="76" t="s">
        <v>252</v>
      </c>
      <c r="B6" s="103">
        <f>SUM(B3:B5)</f>
        <v>34930.800000000003</v>
      </c>
      <c r="C6" s="103">
        <f t="shared" ref="C6:N6" si="0">SUM(C3:C5)</f>
        <v>37151.25</v>
      </c>
      <c r="D6" s="103">
        <f t="shared" si="0"/>
        <v>39371.25</v>
      </c>
      <c r="E6" s="103">
        <f t="shared" si="0"/>
        <v>41281.25</v>
      </c>
      <c r="F6" s="103">
        <f t="shared" si="0"/>
        <v>43271.25</v>
      </c>
      <c r="G6" s="103">
        <f t="shared" si="0"/>
        <v>44958.75</v>
      </c>
      <c r="H6" s="103">
        <f t="shared" si="0"/>
        <v>47151.25</v>
      </c>
      <c r="I6" s="103">
        <f t="shared" si="0"/>
        <v>49121.25</v>
      </c>
      <c r="J6" s="103">
        <f t="shared" si="0"/>
        <v>51363</v>
      </c>
      <c r="K6" s="103">
        <f t="shared" si="0"/>
        <v>56500.130000000005</v>
      </c>
      <c r="L6" s="103">
        <f t="shared" si="0"/>
        <v>62150.14</v>
      </c>
      <c r="M6" s="103">
        <f t="shared" si="0"/>
        <v>80795.19</v>
      </c>
      <c r="N6" s="103">
        <f t="shared" si="0"/>
        <v>588045.51</v>
      </c>
      <c r="P6" s="124"/>
      <c r="Q6" s="125"/>
      <c r="R6" s="125"/>
      <c r="S6" s="125"/>
      <c r="T6" s="126"/>
    </row>
    <row r="7" spans="1:23" ht="12.75" customHeight="1" x14ac:dyDescent="0.2">
      <c r="P7" s="124"/>
      <c r="Q7" s="125"/>
      <c r="R7" s="125"/>
      <c r="S7" s="125"/>
      <c r="T7" s="126"/>
    </row>
    <row r="8" spans="1:23" ht="12.75" customHeight="1" x14ac:dyDescent="0.2">
      <c r="P8" s="124"/>
      <c r="Q8" s="125"/>
      <c r="R8" s="125"/>
      <c r="S8" s="125"/>
      <c r="T8" s="126"/>
    </row>
    <row r="9" spans="1:23" ht="12.75" customHeight="1" x14ac:dyDescent="0.2">
      <c r="P9" s="124"/>
      <c r="Q9" s="125"/>
      <c r="R9" s="125"/>
      <c r="S9" s="125"/>
      <c r="T9" s="126"/>
    </row>
    <row r="10" spans="1:23" ht="12.75" customHeight="1" x14ac:dyDescent="0.2">
      <c r="P10" s="124"/>
      <c r="Q10" s="125"/>
      <c r="R10" s="125"/>
      <c r="S10" s="125"/>
      <c r="T10" s="126"/>
    </row>
    <row r="11" spans="1:23" ht="12.75" customHeight="1" x14ac:dyDescent="0.2">
      <c r="P11" s="124"/>
      <c r="Q11" s="125"/>
      <c r="R11" s="125"/>
      <c r="S11" s="125"/>
      <c r="T11" s="126"/>
    </row>
    <row r="12" spans="1:23" ht="12.75" customHeight="1" x14ac:dyDescent="0.2">
      <c r="P12" s="127"/>
      <c r="Q12" s="128"/>
      <c r="R12" s="128"/>
      <c r="S12" s="128"/>
      <c r="T12" s="129"/>
    </row>
    <row r="14" spans="1:23" x14ac:dyDescent="0.2">
      <c r="D14" s="94"/>
      <c r="E14" s="95"/>
      <c r="F14" s="95"/>
      <c r="G14" s="95"/>
      <c r="H14" s="95"/>
      <c r="I14" s="95"/>
      <c r="J14" s="96"/>
    </row>
    <row r="15" spans="1:23" x14ac:dyDescent="0.2">
      <c r="A15" s="121" t="s">
        <v>248</v>
      </c>
      <c r="B15" s="122"/>
      <c r="C15" s="123"/>
      <c r="D15" s="97"/>
      <c r="E15" s="85"/>
      <c r="F15" s="130" t="s">
        <v>243</v>
      </c>
      <c r="G15" s="130"/>
      <c r="H15" s="130"/>
      <c r="I15" s="85"/>
      <c r="J15" s="101"/>
    </row>
    <row r="16" spans="1:23" x14ac:dyDescent="0.2">
      <c r="A16" s="124"/>
      <c r="B16" s="125"/>
      <c r="C16" s="126"/>
      <c r="D16" s="97"/>
      <c r="E16" s="98"/>
      <c r="F16" s="82" t="s">
        <v>111</v>
      </c>
      <c r="G16" s="82" t="s">
        <v>140</v>
      </c>
      <c r="H16" s="82" t="s">
        <v>173</v>
      </c>
      <c r="I16" s="98"/>
      <c r="J16" s="101"/>
      <c r="N16" s="86"/>
      <c r="O16" s="87"/>
      <c r="P16" s="87"/>
      <c r="Q16" s="87"/>
      <c r="R16" s="87"/>
      <c r="S16" s="87"/>
      <c r="T16" s="87"/>
      <c r="U16" s="87"/>
      <c r="V16" s="88"/>
      <c r="W16" s="84"/>
    </row>
    <row r="17" spans="1:26" x14ac:dyDescent="0.2">
      <c r="A17" s="124"/>
      <c r="B17" s="125"/>
      <c r="C17" s="126"/>
      <c r="D17" s="97"/>
      <c r="E17" s="98"/>
      <c r="F17" s="77">
        <f>SUM(Croydon!$N$48:$N$54)</f>
        <v>1000.05</v>
      </c>
      <c r="G17" s="77">
        <f>SUM(Glasgow!$N$48:$N$54)</f>
        <v>1000.05</v>
      </c>
      <c r="H17" s="83">
        <f>SUM(Leeds!$N$48:$N$54)</f>
        <v>1371.25</v>
      </c>
      <c r="I17" s="98"/>
      <c r="J17" s="101"/>
      <c r="N17" s="89"/>
      <c r="O17" s="137"/>
      <c r="P17" s="138"/>
      <c r="Q17" s="136" t="s">
        <v>246</v>
      </c>
      <c r="R17" s="136"/>
      <c r="S17" s="136"/>
      <c r="T17" s="136"/>
      <c r="U17" s="84"/>
      <c r="V17" s="90"/>
      <c r="W17" s="84"/>
    </row>
    <row r="18" spans="1:26" x14ac:dyDescent="0.2">
      <c r="A18" s="124"/>
      <c r="B18" s="125"/>
      <c r="C18" s="126"/>
      <c r="D18" s="97"/>
      <c r="E18" s="98"/>
      <c r="F18" s="98"/>
      <c r="G18" s="98"/>
      <c r="H18" s="98"/>
      <c r="I18" s="98"/>
      <c r="J18" s="101"/>
      <c r="N18" s="89"/>
      <c r="O18" s="134"/>
      <c r="P18" s="135"/>
      <c r="Q18" s="82" t="s">
        <v>111</v>
      </c>
      <c r="R18" s="82" t="s">
        <v>140</v>
      </c>
      <c r="S18" s="82" t="s">
        <v>173</v>
      </c>
      <c r="T18" s="82" t="s">
        <v>247</v>
      </c>
      <c r="U18" s="84"/>
      <c r="V18" s="90"/>
      <c r="W18" s="84"/>
    </row>
    <row r="19" spans="1:26" x14ac:dyDescent="0.2">
      <c r="A19" s="124"/>
      <c r="B19" s="125"/>
      <c r="C19" s="126"/>
      <c r="D19" s="97"/>
      <c r="E19" s="98"/>
      <c r="F19" s="98"/>
      <c r="G19" s="98"/>
      <c r="H19" s="98"/>
      <c r="I19" s="98"/>
      <c r="J19" s="101"/>
      <c r="N19" s="89"/>
      <c r="O19" s="132" t="s">
        <v>244</v>
      </c>
      <c r="P19" s="132"/>
      <c r="Q19" s="107">
        <f>SUM(Croydon!B19:$M$19)</f>
        <v>200500</v>
      </c>
      <c r="R19" s="107">
        <f>SUM(Glasgow!$B$19:$M$19)</f>
        <v>200500</v>
      </c>
      <c r="S19" s="107">
        <f>SUM(Leeds!$B$19:$M$19)</f>
        <v>200500</v>
      </c>
      <c r="T19" s="108">
        <f>SUM($Q$19:$S$19)</f>
        <v>601500</v>
      </c>
      <c r="U19" s="84"/>
      <c r="V19" s="90"/>
      <c r="W19" s="84"/>
    </row>
    <row r="20" spans="1:26" x14ac:dyDescent="0.2">
      <c r="A20" s="124"/>
      <c r="B20" s="125"/>
      <c r="C20" s="126"/>
      <c r="D20" s="97"/>
      <c r="E20" s="98"/>
      <c r="F20" s="98"/>
      <c r="G20" s="98"/>
      <c r="H20" s="98"/>
      <c r="I20" s="98"/>
      <c r="J20" s="101"/>
      <c r="N20" s="89"/>
      <c r="O20" s="133" t="s">
        <v>245</v>
      </c>
      <c r="P20" s="133"/>
      <c r="Q20" s="106">
        <f>N5</f>
        <v>207066.14</v>
      </c>
      <c r="R20" s="106">
        <f>N3</f>
        <v>184984.05</v>
      </c>
      <c r="S20" s="106">
        <f>N4</f>
        <v>195995.32</v>
      </c>
      <c r="T20" s="105">
        <f>SUM($Q$20:$S$20)</f>
        <v>588045.51</v>
      </c>
      <c r="U20" s="84"/>
      <c r="V20" s="90"/>
      <c r="W20" s="121" t="s">
        <v>250</v>
      </c>
      <c r="X20" s="122"/>
      <c r="Y20" s="122"/>
      <c r="Z20" s="123"/>
    </row>
    <row r="21" spans="1:26" x14ac:dyDescent="0.2">
      <c r="A21" s="124"/>
      <c r="B21" s="125"/>
      <c r="C21" s="126"/>
      <c r="D21" s="97"/>
      <c r="E21" s="98"/>
      <c r="F21" s="98"/>
      <c r="G21" s="98"/>
      <c r="H21" s="98"/>
      <c r="I21" s="98"/>
      <c r="J21" s="101"/>
      <c r="N21" s="89"/>
      <c r="O21" s="84"/>
      <c r="P21" s="84"/>
      <c r="Q21" s="84"/>
      <c r="R21" s="84"/>
      <c r="S21" s="84"/>
      <c r="T21" s="84"/>
      <c r="U21" s="84"/>
      <c r="V21" s="90"/>
      <c r="W21" s="124"/>
      <c r="X21" s="125"/>
      <c r="Y21" s="125"/>
      <c r="Z21" s="126"/>
    </row>
    <row r="22" spans="1:26" x14ac:dyDescent="0.2">
      <c r="A22" s="124"/>
      <c r="B22" s="125"/>
      <c r="C22" s="126"/>
      <c r="D22" s="97"/>
      <c r="E22" s="98"/>
      <c r="F22" s="98"/>
      <c r="G22" s="98"/>
      <c r="H22" s="98"/>
      <c r="I22" s="98"/>
      <c r="J22" s="101"/>
      <c r="N22" s="89"/>
      <c r="O22" s="84"/>
      <c r="P22" s="84"/>
      <c r="Q22" s="84"/>
      <c r="R22" s="84"/>
      <c r="S22" s="84"/>
      <c r="T22" s="84"/>
      <c r="U22" s="84"/>
      <c r="V22" s="90"/>
      <c r="W22" s="124"/>
      <c r="X22" s="125"/>
      <c r="Y22" s="125"/>
      <c r="Z22" s="126"/>
    </row>
    <row r="23" spans="1:26" x14ac:dyDescent="0.2">
      <c r="A23" s="124"/>
      <c r="B23" s="125"/>
      <c r="C23" s="126"/>
      <c r="D23" s="97"/>
      <c r="E23" s="98"/>
      <c r="F23" s="98"/>
      <c r="G23" s="98"/>
      <c r="H23" s="98"/>
      <c r="I23" s="98"/>
      <c r="J23" s="101"/>
      <c r="N23" s="89"/>
      <c r="O23" s="84"/>
      <c r="P23" s="84"/>
      <c r="Q23" s="84"/>
      <c r="R23" s="84"/>
      <c r="S23" s="84"/>
      <c r="T23" s="84"/>
      <c r="U23" s="84"/>
      <c r="V23" s="90"/>
      <c r="W23" s="124"/>
      <c r="X23" s="125"/>
      <c r="Y23" s="125"/>
      <c r="Z23" s="126"/>
    </row>
    <row r="24" spans="1:26" x14ac:dyDescent="0.2">
      <c r="A24" s="124"/>
      <c r="B24" s="125"/>
      <c r="C24" s="126"/>
      <c r="D24" s="97"/>
      <c r="E24" s="98"/>
      <c r="F24" s="98"/>
      <c r="G24" s="98"/>
      <c r="H24" s="98"/>
      <c r="I24" s="98"/>
      <c r="J24" s="101"/>
      <c r="N24" s="89"/>
      <c r="O24" s="84"/>
      <c r="P24" s="84"/>
      <c r="Q24" s="84"/>
      <c r="R24" s="84"/>
      <c r="S24" s="84"/>
      <c r="T24" s="84"/>
      <c r="U24" s="84"/>
      <c r="V24" s="90"/>
      <c r="W24" s="124"/>
      <c r="X24" s="125"/>
      <c r="Y24" s="125"/>
      <c r="Z24" s="126"/>
    </row>
    <row r="25" spans="1:26" x14ac:dyDescent="0.2">
      <c r="A25" s="124"/>
      <c r="B25" s="125"/>
      <c r="C25" s="126"/>
      <c r="D25" s="97"/>
      <c r="E25" s="98"/>
      <c r="F25" s="98"/>
      <c r="G25" s="98"/>
      <c r="H25" s="98"/>
      <c r="I25" s="98"/>
      <c r="J25" s="101"/>
      <c r="N25" s="89"/>
      <c r="O25" s="84"/>
      <c r="P25" s="84"/>
      <c r="Q25" s="84"/>
      <c r="R25" s="84"/>
      <c r="S25" s="84"/>
      <c r="T25" s="84"/>
      <c r="U25" s="84"/>
      <c r="V25" s="90"/>
      <c r="W25" s="124"/>
      <c r="X25" s="125"/>
      <c r="Y25" s="125"/>
      <c r="Z25" s="126"/>
    </row>
    <row r="26" spans="1:26" x14ac:dyDescent="0.2">
      <c r="A26" s="124"/>
      <c r="B26" s="125"/>
      <c r="C26" s="126"/>
      <c r="D26" s="97"/>
      <c r="E26" s="98"/>
      <c r="F26" s="98"/>
      <c r="G26" s="98"/>
      <c r="H26" s="98"/>
      <c r="I26" s="98"/>
      <c r="J26" s="101"/>
      <c r="N26" s="89"/>
      <c r="O26" s="84"/>
      <c r="P26" s="84"/>
      <c r="Q26" s="84"/>
      <c r="R26" s="84"/>
      <c r="S26" s="84"/>
      <c r="T26" s="84"/>
      <c r="U26" s="84"/>
      <c r="V26" s="90"/>
      <c r="W26" s="124"/>
      <c r="X26" s="125"/>
      <c r="Y26" s="125"/>
      <c r="Z26" s="126"/>
    </row>
    <row r="27" spans="1:26" x14ac:dyDescent="0.2">
      <c r="A27" s="124"/>
      <c r="B27" s="125"/>
      <c r="C27" s="126"/>
      <c r="D27" s="97"/>
      <c r="E27" s="98"/>
      <c r="F27" s="98"/>
      <c r="G27" s="98"/>
      <c r="H27" s="98"/>
      <c r="I27" s="98"/>
      <c r="J27" s="101"/>
      <c r="N27" s="89"/>
      <c r="O27" s="84"/>
      <c r="P27" s="84"/>
      <c r="Q27" s="84"/>
      <c r="R27" s="84"/>
      <c r="S27" s="84"/>
      <c r="T27" s="84"/>
      <c r="U27" s="84"/>
      <c r="V27" s="90"/>
      <c r="W27" s="124"/>
      <c r="X27" s="125"/>
      <c r="Y27" s="125"/>
      <c r="Z27" s="126"/>
    </row>
    <row r="28" spans="1:26" x14ac:dyDescent="0.2">
      <c r="A28" s="124"/>
      <c r="B28" s="125"/>
      <c r="C28" s="126"/>
      <c r="D28" s="97"/>
      <c r="E28" s="98"/>
      <c r="F28" s="98"/>
      <c r="G28" s="98"/>
      <c r="H28" s="98"/>
      <c r="I28" s="98"/>
      <c r="J28" s="101"/>
      <c r="N28" s="89"/>
      <c r="O28" s="84"/>
      <c r="P28" s="84"/>
      <c r="Q28" s="84"/>
      <c r="R28" s="84"/>
      <c r="S28" s="84"/>
      <c r="T28" s="84"/>
      <c r="U28" s="84"/>
      <c r="V28" s="90"/>
      <c r="W28" s="124"/>
      <c r="X28" s="125"/>
      <c r="Y28" s="125"/>
      <c r="Z28" s="126"/>
    </row>
    <row r="29" spans="1:26" x14ac:dyDescent="0.2">
      <c r="A29" s="124"/>
      <c r="B29" s="125"/>
      <c r="C29" s="126"/>
      <c r="D29" s="97"/>
      <c r="E29" s="98"/>
      <c r="F29" s="98"/>
      <c r="G29" s="98"/>
      <c r="H29" s="98"/>
      <c r="I29" s="98"/>
      <c r="J29" s="101"/>
      <c r="N29" s="89"/>
      <c r="O29" s="84"/>
      <c r="P29" s="84"/>
      <c r="Q29" s="84"/>
      <c r="R29" s="84"/>
      <c r="S29" s="84"/>
      <c r="T29" s="84"/>
      <c r="U29" s="84"/>
      <c r="V29" s="90"/>
      <c r="W29" s="124"/>
      <c r="X29" s="125"/>
      <c r="Y29" s="125"/>
      <c r="Z29" s="126"/>
    </row>
    <row r="30" spans="1:26" x14ac:dyDescent="0.2">
      <c r="A30" s="124"/>
      <c r="B30" s="125"/>
      <c r="C30" s="126"/>
      <c r="D30" s="97"/>
      <c r="E30" s="98"/>
      <c r="F30" s="98"/>
      <c r="G30" s="98"/>
      <c r="H30" s="98"/>
      <c r="I30" s="98"/>
      <c r="J30" s="101"/>
      <c r="N30" s="89"/>
      <c r="O30" s="84"/>
      <c r="P30" s="84"/>
      <c r="Q30" s="84"/>
      <c r="R30" s="84"/>
      <c r="S30" s="84"/>
      <c r="T30" s="84"/>
      <c r="U30" s="84"/>
      <c r="V30" s="90"/>
      <c r="W30" s="124"/>
      <c r="X30" s="125"/>
      <c r="Y30" s="125"/>
      <c r="Z30" s="126"/>
    </row>
    <row r="31" spans="1:26" x14ac:dyDescent="0.2">
      <c r="A31" s="124"/>
      <c r="B31" s="125"/>
      <c r="C31" s="126"/>
      <c r="D31" s="97"/>
      <c r="E31" s="98"/>
      <c r="F31" s="98"/>
      <c r="G31" s="98"/>
      <c r="H31" s="98"/>
      <c r="I31" s="98"/>
      <c r="J31" s="101"/>
      <c r="N31" s="89"/>
      <c r="O31" s="84"/>
      <c r="P31" s="84"/>
      <c r="Q31" s="84"/>
      <c r="R31" s="84"/>
      <c r="S31" s="84"/>
      <c r="T31" s="84"/>
      <c r="U31" s="84"/>
      <c r="V31" s="90"/>
      <c r="W31" s="124"/>
      <c r="X31" s="125"/>
      <c r="Y31" s="125"/>
      <c r="Z31" s="126"/>
    </row>
    <row r="32" spans="1:26" x14ac:dyDescent="0.2">
      <c r="A32" s="124"/>
      <c r="B32" s="125"/>
      <c r="C32" s="126"/>
      <c r="D32" s="97"/>
      <c r="E32" s="98"/>
      <c r="F32" s="98"/>
      <c r="G32" s="98"/>
      <c r="H32" s="98"/>
      <c r="I32" s="98"/>
      <c r="J32" s="101"/>
      <c r="N32" s="89"/>
      <c r="O32" s="84"/>
      <c r="P32" s="84"/>
      <c r="Q32" s="84"/>
      <c r="R32" s="84"/>
      <c r="S32" s="84"/>
      <c r="T32" s="84"/>
      <c r="U32" s="84"/>
      <c r="V32" s="90"/>
      <c r="W32" s="124"/>
      <c r="X32" s="125"/>
      <c r="Y32" s="125"/>
      <c r="Z32" s="126"/>
    </row>
    <row r="33" spans="1:26" x14ac:dyDescent="0.2">
      <c r="A33" s="127"/>
      <c r="B33" s="128"/>
      <c r="C33" s="129"/>
      <c r="D33" s="97"/>
      <c r="E33" s="98"/>
      <c r="F33" s="98"/>
      <c r="G33" s="98"/>
      <c r="H33" s="98"/>
      <c r="I33" s="98"/>
      <c r="J33" s="101"/>
      <c r="N33" s="89"/>
      <c r="O33" s="84"/>
      <c r="P33" s="84"/>
      <c r="Q33" s="84"/>
      <c r="R33" s="84"/>
      <c r="S33" s="84"/>
      <c r="T33" s="84"/>
      <c r="U33" s="84"/>
      <c r="V33" s="90"/>
      <c r="W33" s="124"/>
      <c r="X33" s="125"/>
      <c r="Y33" s="125"/>
      <c r="Z33" s="126"/>
    </row>
    <row r="34" spans="1:26" x14ac:dyDescent="0.2">
      <c r="D34" s="97"/>
      <c r="E34" s="98"/>
      <c r="F34" s="98"/>
      <c r="G34" s="98"/>
      <c r="H34" s="98"/>
      <c r="I34" s="98"/>
      <c r="J34" s="101"/>
      <c r="N34" s="89"/>
      <c r="O34" s="84"/>
      <c r="P34" s="84"/>
      <c r="Q34" s="84"/>
      <c r="R34" s="84"/>
      <c r="S34" s="84"/>
      <c r="T34" s="84"/>
      <c r="U34" s="84"/>
      <c r="V34" s="90"/>
      <c r="W34" s="124"/>
      <c r="X34" s="125"/>
      <c r="Y34" s="125"/>
      <c r="Z34" s="126"/>
    </row>
    <row r="35" spans="1:26" x14ac:dyDescent="0.2">
      <c r="D35" s="97"/>
      <c r="E35" s="98"/>
      <c r="F35" s="98"/>
      <c r="G35" s="98"/>
      <c r="H35" s="98"/>
      <c r="I35" s="98"/>
      <c r="J35" s="101"/>
      <c r="N35" s="89"/>
      <c r="O35" s="84"/>
      <c r="P35" s="84"/>
      <c r="Q35" s="84"/>
      <c r="R35" s="84"/>
      <c r="S35" s="84"/>
      <c r="T35" s="84"/>
      <c r="U35" s="84"/>
      <c r="V35" s="90"/>
      <c r="W35" s="124"/>
      <c r="X35" s="125"/>
      <c r="Y35" s="125"/>
      <c r="Z35" s="126"/>
    </row>
    <row r="36" spans="1:26" x14ac:dyDescent="0.2">
      <c r="D36" s="99"/>
      <c r="E36" s="100"/>
      <c r="F36" s="100"/>
      <c r="G36" s="100"/>
      <c r="H36" s="100"/>
      <c r="I36" s="100"/>
      <c r="J36" s="102"/>
      <c r="N36" s="89"/>
      <c r="O36" s="84"/>
      <c r="P36" s="84"/>
      <c r="Q36" s="84"/>
      <c r="R36" s="84"/>
      <c r="S36" s="84"/>
      <c r="T36" s="84"/>
      <c r="U36" s="84"/>
      <c r="V36" s="90"/>
      <c r="W36" s="124"/>
      <c r="X36" s="125"/>
      <c r="Y36" s="125"/>
      <c r="Z36" s="126"/>
    </row>
    <row r="37" spans="1:26" x14ac:dyDescent="0.2">
      <c r="N37" s="89"/>
      <c r="O37" s="84"/>
      <c r="P37" s="84"/>
      <c r="Q37" s="84"/>
      <c r="R37" s="84"/>
      <c r="S37" s="84"/>
      <c r="T37" s="84"/>
      <c r="U37" s="84"/>
      <c r="V37" s="90"/>
      <c r="W37" s="124"/>
      <c r="X37" s="125"/>
      <c r="Y37" s="125"/>
      <c r="Z37" s="126"/>
    </row>
    <row r="38" spans="1:26" x14ac:dyDescent="0.2">
      <c r="N38" s="89"/>
      <c r="O38" s="84"/>
      <c r="P38" s="84"/>
      <c r="Q38" s="84"/>
      <c r="R38" s="84"/>
      <c r="S38" s="84"/>
      <c r="T38" s="84"/>
      <c r="U38" s="84"/>
      <c r="V38" s="90"/>
      <c r="W38" s="124"/>
      <c r="X38" s="125"/>
      <c r="Y38" s="125"/>
      <c r="Z38" s="126"/>
    </row>
    <row r="39" spans="1:26" x14ac:dyDescent="0.2">
      <c r="N39" s="89"/>
      <c r="O39" s="84"/>
      <c r="P39" s="84"/>
      <c r="Q39" s="84"/>
      <c r="R39" s="84"/>
      <c r="S39" s="84"/>
      <c r="T39" s="84"/>
      <c r="U39" s="84"/>
      <c r="V39" s="90"/>
      <c r="W39" s="124"/>
      <c r="X39" s="125"/>
      <c r="Y39" s="125"/>
      <c r="Z39" s="126"/>
    </row>
    <row r="40" spans="1:26" ht="15" x14ac:dyDescent="0.25">
      <c r="A40" s="104"/>
      <c r="B40" s="104"/>
      <c r="C40" s="104"/>
      <c r="D40" s="104"/>
      <c r="E40" s="104"/>
      <c r="F40" s="104"/>
      <c r="G40" s="104"/>
      <c r="H40" s="104"/>
      <c r="I40" s="104"/>
      <c r="J40" s="104"/>
      <c r="K40" s="104"/>
      <c r="L40" s="104"/>
      <c r="M40" s="104"/>
      <c r="N40" s="89"/>
      <c r="O40" s="84"/>
      <c r="P40" s="84"/>
      <c r="Q40" s="84"/>
      <c r="R40" s="84"/>
      <c r="S40" s="84"/>
      <c r="T40" s="84"/>
      <c r="U40" s="84"/>
      <c r="V40" s="90"/>
      <c r="W40" s="127"/>
      <c r="X40" s="128"/>
      <c r="Y40" s="128"/>
      <c r="Z40" s="129"/>
    </row>
    <row r="41" spans="1:26" x14ac:dyDescent="0.2">
      <c r="A41" s="84"/>
      <c r="B41" s="84"/>
      <c r="C41" s="84"/>
      <c r="D41" s="84"/>
      <c r="E41" s="84"/>
      <c r="F41" s="84"/>
      <c r="G41" s="84"/>
      <c r="H41" s="84"/>
      <c r="I41" s="84"/>
      <c r="J41" s="84"/>
      <c r="K41" s="84"/>
      <c r="L41" s="84"/>
      <c r="M41" s="84"/>
      <c r="N41" s="89"/>
      <c r="O41" s="84"/>
      <c r="P41" s="84"/>
      <c r="Q41" s="84"/>
      <c r="R41" s="84"/>
      <c r="S41" s="84"/>
      <c r="T41" s="84"/>
      <c r="U41" s="84"/>
      <c r="V41" s="90"/>
      <c r="W41" s="84"/>
    </row>
    <row r="42" spans="1:26" x14ac:dyDescent="0.2">
      <c r="A42" s="84"/>
      <c r="B42" s="84"/>
      <c r="C42" s="84"/>
      <c r="D42" s="84"/>
      <c r="E42" s="84"/>
      <c r="F42" s="84"/>
      <c r="G42" s="84"/>
      <c r="H42" s="84"/>
      <c r="I42" s="84"/>
      <c r="J42" s="84"/>
      <c r="K42" s="84"/>
      <c r="L42" s="84"/>
      <c r="M42" s="84"/>
      <c r="N42" s="89"/>
      <c r="O42" s="84"/>
      <c r="P42" s="84"/>
      <c r="Q42" s="84"/>
      <c r="R42" s="84"/>
      <c r="S42" s="84"/>
      <c r="T42" s="84"/>
      <c r="U42" s="84"/>
      <c r="V42" s="90"/>
      <c r="W42" s="84"/>
    </row>
    <row r="43" spans="1:26" x14ac:dyDescent="0.2">
      <c r="A43" s="84"/>
      <c r="B43" s="84"/>
      <c r="C43" s="84"/>
      <c r="D43" s="84"/>
      <c r="E43" s="84"/>
      <c r="F43" s="84"/>
      <c r="G43" s="84"/>
      <c r="H43" s="84"/>
      <c r="I43" s="84"/>
      <c r="J43" s="84"/>
      <c r="K43" s="84"/>
      <c r="L43" s="84"/>
      <c r="M43" s="84"/>
      <c r="N43" s="89"/>
      <c r="O43" s="84"/>
      <c r="P43" s="84"/>
      <c r="Q43" s="84"/>
      <c r="R43" s="84"/>
      <c r="S43" s="84"/>
      <c r="T43" s="84"/>
      <c r="U43" s="84"/>
      <c r="V43" s="90"/>
      <c r="W43" s="84"/>
    </row>
    <row r="44" spans="1:26" x14ac:dyDescent="0.2">
      <c r="A44" s="84"/>
      <c r="B44" s="84"/>
      <c r="C44" s="84"/>
      <c r="D44" s="84"/>
      <c r="E44" s="84"/>
      <c r="F44" s="84"/>
      <c r="G44" s="84"/>
      <c r="H44" s="84"/>
      <c r="I44" s="84"/>
      <c r="J44" s="84"/>
      <c r="K44" s="84"/>
      <c r="L44" s="84"/>
      <c r="M44" s="84"/>
      <c r="N44" s="91"/>
      <c r="O44" s="92"/>
      <c r="P44" s="92"/>
      <c r="Q44" s="92"/>
      <c r="R44" s="92"/>
      <c r="S44" s="92"/>
      <c r="T44" s="92"/>
      <c r="U44" s="92"/>
      <c r="V44" s="93"/>
      <c r="W44" s="84"/>
    </row>
    <row r="45" spans="1:26" x14ac:dyDescent="0.2">
      <c r="A45" s="84"/>
      <c r="B45" s="84"/>
      <c r="C45" s="84"/>
      <c r="D45" s="84"/>
      <c r="E45" s="84"/>
      <c r="F45" s="84"/>
      <c r="G45" s="84"/>
      <c r="H45" s="84"/>
      <c r="I45" s="84"/>
      <c r="J45" s="84"/>
      <c r="K45" s="84"/>
      <c r="L45" s="84"/>
      <c r="M45" s="84"/>
    </row>
    <row r="46" spans="1:26" x14ac:dyDescent="0.2">
      <c r="A46" s="84"/>
      <c r="B46" s="84"/>
      <c r="C46" s="84"/>
      <c r="D46" s="84"/>
      <c r="E46" s="84"/>
      <c r="F46" s="84"/>
      <c r="G46" s="84"/>
      <c r="H46" s="84"/>
      <c r="I46" s="84"/>
      <c r="J46" s="84"/>
      <c r="K46" s="84"/>
      <c r="L46" s="84"/>
      <c r="M46" s="84"/>
    </row>
    <row r="47" spans="1:26" x14ac:dyDescent="0.2">
      <c r="D47" s="84"/>
      <c r="E47" s="84"/>
      <c r="F47" s="84"/>
      <c r="G47" s="84"/>
      <c r="H47" s="84"/>
      <c r="I47" s="84"/>
      <c r="J47" s="84"/>
      <c r="K47" s="84"/>
      <c r="L47" s="84"/>
      <c r="M47" s="84"/>
    </row>
  </sheetData>
  <mergeCells count="10">
    <mergeCell ref="A15:C33"/>
    <mergeCell ref="W20:Z40"/>
    <mergeCell ref="F15:H15"/>
    <mergeCell ref="A1:N1"/>
    <mergeCell ref="O19:P19"/>
    <mergeCell ref="O20:P20"/>
    <mergeCell ref="O18:P18"/>
    <mergeCell ref="P1:T12"/>
    <mergeCell ref="Q17:T17"/>
    <mergeCell ref="O17:P17"/>
  </mergeCells>
  <phoneticPr fontId="10"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Croydon</vt:lpstr>
      <vt:lpstr>Glasgow</vt:lpstr>
      <vt:lpstr>Leeds</vt:lpstr>
      <vt:lpstr>MIS - P7 - Guilherme Soares</vt:lpstr>
      <vt:lpstr>Croydon!Item_Table</vt:lpstr>
      <vt:lpstr>Glasgow!Item_Table</vt:lpstr>
      <vt:lpstr>Leeds!Item_Table</vt:lpstr>
      <vt:lpstr>Croydon!Number__in_pack</vt:lpstr>
      <vt:lpstr>Glasgow!Number__in_pack</vt:lpstr>
      <vt:lpstr>Leeds!Number__in_pack</vt:lpstr>
      <vt:lpstr>Croydon!Print_Area</vt:lpstr>
      <vt:lpstr>Glasgow!Print_Area</vt:lpstr>
      <vt:lpstr>Leeds!Print_Area</vt:lpstr>
      <vt:lpstr>Croydon!Sales__Price__each</vt:lpstr>
      <vt:lpstr>Glasgow!Sales__Price__each</vt:lpstr>
      <vt:lpstr>Leeds!Sales__Price__each</vt:lpstr>
      <vt:lpstr>Croydon!Yellow_Large</vt:lpstr>
      <vt:lpstr>Glasgow!Yellow_Large</vt:lpstr>
      <vt:lpstr>Leeds!Yellow_Large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GUILHERME SOARES</cp:lastModifiedBy>
  <cp:lastPrinted>2011-02-07T15:42:59Z</cp:lastPrinted>
  <dcterms:created xsi:type="dcterms:W3CDTF">2009-10-24T16:10:30Z</dcterms:created>
  <dcterms:modified xsi:type="dcterms:W3CDTF">2020-03-17T12:51:00Z</dcterms:modified>
</cp:coreProperties>
</file>